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6b483e38f95d40c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H:\VCH files - Nayef\2017-12-04_vgh_mdc-capacity-plan\results\wip\"/>
    </mc:Choice>
  </mc:AlternateContent>
  <bookViews>
    <workbookView minimized="1" xWindow="0" yWindow="0" windowWidth="28800" windowHeight="12435" tabRatio="705" activeTab="4"/>
  </bookViews>
  <sheets>
    <sheet name="BPP Solver Console" sheetId="251" r:id="rId1"/>
    <sheet name="1.Items" sheetId="274" r:id="rId2"/>
    <sheet name="2.Bins" sheetId="275" r:id="rId3"/>
    <sheet name="3.Solution" sheetId="280" r:id="rId4"/>
    <sheet name="4.Visualization" sheetId="281" r:id="rId5"/>
    <sheet name="4.Visualization - rearranged" sheetId="282" r:id="rId6"/>
  </sheets>
  <functionGroups builtInGroupCount="18"/>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5" i="275" l="1"/>
  <c r="E4" i="275"/>
  <c r="E3" i="275"/>
  <c r="E2" i="275"/>
  <c r="F8" i="274"/>
  <c r="F5" i="274"/>
  <c r="F4" i="274"/>
  <c r="F3" i="274"/>
  <c r="F2" i="274"/>
  <c r="FF10" i="280"/>
  <c r="FF8" i="280"/>
  <c r="FF6" i="280"/>
  <c r="ES10" i="280"/>
  <c r="ES8" i="280"/>
  <c r="ES6" i="280"/>
  <c r="EF9" i="280"/>
  <c r="EF7" i="280"/>
  <c r="DS8" i="280"/>
  <c r="DS6" i="280"/>
  <c r="DF11" i="280"/>
  <c r="DF9" i="280"/>
  <c r="DF7" i="280"/>
  <c r="CS10" i="280"/>
  <c r="CS8" i="280"/>
  <c r="CS6" i="280"/>
  <c r="CF20" i="280"/>
  <c r="CF18" i="280"/>
  <c r="CF16" i="280"/>
  <c r="CF14" i="280"/>
  <c r="FF9" i="280"/>
  <c r="FF7" i="280"/>
  <c r="ES9" i="280"/>
  <c r="ES7" i="280"/>
  <c r="EF8" i="280"/>
  <c r="EF6" i="280"/>
  <c r="DS9" i="280"/>
  <c r="DS7" i="280"/>
  <c r="DF10" i="280"/>
  <c r="DF8" i="280"/>
  <c r="DF6" i="280"/>
  <c r="CS11" i="280"/>
  <c r="CS9" i="280"/>
  <c r="CS7" i="280"/>
  <c r="CF19" i="280"/>
  <c r="CF17" i="280"/>
  <c r="CF15" i="280"/>
  <c r="CF13" i="280"/>
  <c r="CF11" i="280"/>
  <c r="CF9" i="280"/>
  <c r="CF7" i="280"/>
  <c r="BS19" i="280"/>
  <c r="BS17" i="280"/>
  <c r="BS15" i="280"/>
  <c r="BS13" i="280"/>
  <c r="BS11" i="280"/>
  <c r="BS9" i="280"/>
  <c r="BS7" i="280"/>
  <c r="CF12" i="280"/>
  <c r="BS14" i="280"/>
  <c r="BS6" i="280"/>
  <c r="BF20" i="280"/>
  <c r="BF18" i="280"/>
  <c r="BF16" i="280"/>
  <c r="BF14" i="280"/>
  <c r="BF12" i="280"/>
  <c r="BF10" i="280"/>
  <c r="BF8" i="280"/>
  <c r="BF6" i="280"/>
  <c r="AS20" i="280"/>
  <c r="AS18" i="280"/>
  <c r="AS16" i="280"/>
  <c r="AS14" i="280"/>
  <c r="AS12" i="280"/>
  <c r="AS10" i="280"/>
  <c r="AS8" i="280"/>
  <c r="AS6" i="280"/>
  <c r="AF20" i="280"/>
  <c r="CF10" i="280"/>
  <c r="BS20" i="280"/>
  <c r="BS12" i="280"/>
  <c r="BS8" i="280"/>
  <c r="AS11" i="280"/>
  <c r="CF6" i="280"/>
  <c r="BS16" i="280"/>
  <c r="AS15" i="280"/>
  <c r="AS7" i="280"/>
  <c r="AS17" i="280"/>
  <c r="CF8" i="280"/>
  <c r="BF13" i="280"/>
  <c r="AS9" i="280"/>
  <c r="AF19" i="280"/>
  <c r="AF15" i="280"/>
  <c r="AF11" i="280"/>
  <c r="AF7" i="280"/>
  <c r="S17" i="280"/>
  <c r="S13" i="280"/>
  <c r="S9" i="280"/>
  <c r="S8" i="280"/>
  <c r="F19" i="280"/>
  <c r="BF15" i="280"/>
  <c r="BF7" i="280"/>
  <c r="AF16" i="280"/>
  <c r="AF12" i="280"/>
  <c r="AF8" i="280"/>
  <c r="S18" i="280"/>
  <c r="S14" i="280"/>
  <c r="S7" i="280"/>
  <c r="S6" i="280"/>
  <c r="F18" i="280"/>
  <c r="F16" i="280"/>
  <c r="F14" i="280"/>
  <c r="F12" i="280"/>
  <c r="F10" i="280"/>
  <c r="F8" i="280"/>
  <c r="F6" i="280"/>
  <c r="BS18" i="280"/>
  <c r="BF17" i="280"/>
  <c r="BF9" i="280"/>
  <c r="AS19" i="280"/>
  <c r="AF17" i="280"/>
  <c r="AF13" i="280"/>
  <c r="AF9" i="280"/>
  <c r="S19" i="280"/>
  <c r="S15" i="280"/>
  <c r="BF11" i="280"/>
  <c r="AF18" i="280"/>
  <c r="BF19" i="280"/>
  <c r="AF6" i="280"/>
  <c r="S16" i="280"/>
  <c r="S12" i="280"/>
  <c r="S10" i="280"/>
  <c r="F20" i="280"/>
  <c r="F17" i="280"/>
  <c r="F13" i="280"/>
  <c r="F9" i="280"/>
  <c r="AS13" i="280"/>
  <c r="AF10" i="280"/>
  <c r="S20" i="280"/>
  <c r="BS10" i="280"/>
  <c r="AF14" i="280"/>
  <c r="S11" i="280"/>
  <c r="F15" i="280"/>
  <c r="F11" i="280"/>
  <c r="F7" i="280"/>
  <c r="I7" i="280" l="1"/>
  <c r="H7" i="280"/>
  <c r="K7" i="280"/>
  <c r="J7" i="280"/>
  <c r="G7" i="280"/>
  <c r="I11" i="280"/>
  <c r="H11" i="280"/>
  <c r="K11" i="280"/>
  <c r="J11" i="280"/>
  <c r="G11" i="280"/>
  <c r="I15" i="280"/>
  <c r="H15" i="280"/>
  <c r="K15" i="280"/>
  <c r="J15" i="280"/>
  <c r="G15" i="280"/>
  <c r="X11" i="280"/>
  <c r="V11" i="280"/>
  <c r="W11" i="280"/>
  <c r="U11" i="280"/>
  <c r="T11" i="280"/>
  <c r="AI14" i="280"/>
  <c r="AK14" i="280"/>
  <c r="AG14" i="280"/>
  <c r="AJ14" i="280"/>
  <c r="AH14" i="280"/>
  <c r="BU10" i="280"/>
  <c r="BV10" i="280"/>
  <c r="BT10" i="280"/>
  <c r="BW10" i="280"/>
  <c r="BX10" i="280"/>
  <c r="V20" i="280"/>
  <c r="X20" i="280"/>
  <c r="T20" i="280"/>
  <c r="W20" i="280"/>
  <c r="U20" i="280"/>
  <c r="AI10" i="280"/>
  <c r="AK10" i="280"/>
  <c r="AG10" i="280"/>
  <c r="AJ10" i="280"/>
  <c r="AH10" i="280"/>
  <c r="AU13" i="280"/>
  <c r="AW13" i="280"/>
  <c r="AT13" i="280"/>
  <c r="AX13" i="280"/>
  <c r="AV13" i="280"/>
  <c r="I9" i="280"/>
  <c r="H9" i="280"/>
  <c r="G9" i="280"/>
  <c r="K9" i="280"/>
  <c r="J9" i="280"/>
  <c r="I13" i="280"/>
  <c r="H13" i="280"/>
  <c r="G13" i="280"/>
  <c r="K13" i="280"/>
  <c r="J13" i="280"/>
  <c r="I17" i="280"/>
  <c r="H17" i="280"/>
  <c r="G17" i="280"/>
  <c r="K17" i="280"/>
  <c r="J17" i="280"/>
  <c r="K20" i="280"/>
  <c r="G20" i="280"/>
  <c r="J20" i="280"/>
  <c r="I20" i="280"/>
  <c r="H20" i="280"/>
  <c r="X10" i="280"/>
  <c r="T10" i="280"/>
  <c r="W10" i="280"/>
  <c r="V10" i="280"/>
  <c r="U10" i="280"/>
  <c r="V12" i="280"/>
  <c r="X12" i="280"/>
  <c r="T12" i="280"/>
  <c r="W12" i="280"/>
  <c r="U12" i="280"/>
  <c r="V16" i="280"/>
  <c r="X16" i="280"/>
  <c r="T16" i="280"/>
  <c r="W16" i="280"/>
  <c r="U16" i="280"/>
  <c r="AI6" i="280"/>
  <c r="AK6" i="280"/>
  <c r="AG6" i="280"/>
  <c r="AJ6" i="280"/>
  <c r="AH6" i="280"/>
  <c r="BH19" i="280"/>
  <c r="BK19" i="280"/>
  <c r="BG19" i="280"/>
  <c r="BI19" i="280"/>
  <c r="BJ19" i="280"/>
  <c r="AI18" i="280"/>
  <c r="AK18" i="280"/>
  <c r="AG18" i="280"/>
  <c r="AJ18" i="280"/>
  <c r="AH18" i="280"/>
  <c r="BH11" i="280"/>
  <c r="BK11" i="280"/>
  <c r="BG11" i="280"/>
  <c r="BI11" i="280"/>
  <c r="BJ11" i="280"/>
  <c r="X15" i="280"/>
  <c r="T15" i="280"/>
  <c r="V15" i="280"/>
  <c r="W15" i="280"/>
  <c r="U15" i="280"/>
  <c r="X19" i="280"/>
  <c r="T19" i="280"/>
  <c r="V19" i="280"/>
  <c r="W19" i="280"/>
  <c r="U19" i="280"/>
  <c r="AK9" i="280"/>
  <c r="AG9" i="280"/>
  <c r="AI9" i="280"/>
  <c r="AJ9" i="280"/>
  <c r="AH9" i="280"/>
  <c r="AK13" i="280"/>
  <c r="AG13" i="280"/>
  <c r="AI13" i="280"/>
  <c r="AJ13" i="280"/>
  <c r="AH13" i="280"/>
  <c r="AK17" i="280"/>
  <c r="AG17" i="280"/>
  <c r="AI17" i="280"/>
  <c r="AJ17" i="280"/>
  <c r="AH17" i="280"/>
  <c r="AU19" i="280"/>
  <c r="AX19" i="280"/>
  <c r="AT19" i="280"/>
  <c r="AV19" i="280"/>
  <c r="AW19" i="280"/>
  <c r="BH9" i="280"/>
  <c r="BK9" i="280"/>
  <c r="BG9" i="280"/>
  <c r="BI9" i="280"/>
  <c r="BJ9" i="280"/>
  <c r="BH17" i="280"/>
  <c r="BK17" i="280"/>
  <c r="BG17" i="280"/>
  <c r="BI17" i="280"/>
  <c r="BJ17" i="280"/>
  <c r="BU18" i="280"/>
  <c r="BV18" i="280"/>
  <c r="BT18" i="280"/>
  <c r="BW18" i="280"/>
  <c r="BX18" i="280"/>
  <c r="K6" i="280"/>
  <c r="G6" i="280"/>
  <c r="J6" i="280"/>
  <c r="I6" i="280"/>
  <c r="H6" i="280"/>
  <c r="K8" i="280"/>
  <c r="G8" i="280"/>
  <c r="J8" i="280"/>
  <c r="I8" i="280"/>
  <c r="H8" i="280"/>
  <c r="K10" i="280"/>
  <c r="G10" i="280"/>
  <c r="J10" i="280"/>
  <c r="I10" i="280"/>
  <c r="H10" i="280"/>
  <c r="K12" i="280"/>
  <c r="G12" i="280"/>
  <c r="J12" i="280"/>
  <c r="I12" i="280"/>
  <c r="H12" i="280"/>
  <c r="K14" i="280"/>
  <c r="G14" i="280"/>
  <c r="J14" i="280"/>
  <c r="I14" i="280"/>
  <c r="H14" i="280"/>
  <c r="K16" i="280"/>
  <c r="G16" i="280"/>
  <c r="J16" i="280"/>
  <c r="I16" i="280"/>
  <c r="H16" i="280"/>
  <c r="K18" i="280"/>
  <c r="G18" i="280"/>
  <c r="J18" i="280"/>
  <c r="I18" i="280"/>
  <c r="H18" i="280"/>
  <c r="X6" i="280"/>
  <c r="T6" i="280"/>
  <c r="U6" i="280"/>
  <c r="W6" i="280"/>
  <c r="V6" i="280"/>
  <c r="V7" i="280"/>
  <c r="T7" i="280"/>
  <c r="X7" i="280"/>
  <c r="W7" i="280"/>
  <c r="U7" i="280"/>
  <c r="V14" i="280"/>
  <c r="X14" i="280"/>
  <c r="T14" i="280"/>
  <c r="U14" i="280"/>
  <c r="W14" i="280"/>
  <c r="V18" i="280"/>
  <c r="X18" i="280"/>
  <c r="T18" i="280"/>
  <c r="U18" i="280"/>
  <c r="W18" i="280"/>
  <c r="AI8" i="280"/>
  <c r="AK8" i="280"/>
  <c r="AG8" i="280"/>
  <c r="AH8" i="280"/>
  <c r="AJ8" i="280"/>
  <c r="AI12" i="280"/>
  <c r="AK12" i="280"/>
  <c r="AG12" i="280"/>
  <c r="AH12" i="280"/>
  <c r="AJ12" i="280"/>
  <c r="AI16" i="280"/>
  <c r="AK16" i="280"/>
  <c r="AG16" i="280"/>
  <c r="AH16" i="280"/>
  <c r="AJ16" i="280"/>
  <c r="BH7" i="280"/>
  <c r="BK7" i="280"/>
  <c r="BG7" i="280"/>
  <c r="BI7" i="280"/>
  <c r="BJ7" i="280"/>
  <c r="BH15" i="280"/>
  <c r="BK15" i="280"/>
  <c r="BG15" i="280"/>
  <c r="BI15" i="280"/>
  <c r="BJ15" i="280"/>
  <c r="I19" i="280"/>
  <c r="K19" i="280"/>
  <c r="J19" i="280"/>
  <c r="H19" i="280"/>
  <c r="G19" i="280"/>
  <c r="X8" i="280"/>
  <c r="T8" i="280"/>
  <c r="W8" i="280"/>
  <c r="V8" i="280"/>
  <c r="U8" i="280"/>
  <c r="V9" i="280"/>
  <c r="X9" i="280"/>
  <c r="W9" i="280"/>
  <c r="U9" i="280"/>
  <c r="T9" i="280"/>
  <c r="X13" i="280"/>
  <c r="T13" i="280"/>
  <c r="V13" i="280"/>
  <c r="W13" i="280"/>
  <c r="U13" i="280"/>
  <c r="X17" i="280"/>
  <c r="T17" i="280"/>
  <c r="V17" i="280"/>
  <c r="W17" i="280"/>
  <c r="U17" i="280"/>
  <c r="AK7" i="280"/>
  <c r="AG7" i="280"/>
  <c r="AI7" i="280"/>
  <c r="AJ7" i="280"/>
  <c r="AH7" i="280"/>
  <c r="AK11" i="280"/>
  <c r="AG11" i="280"/>
  <c r="AI11" i="280"/>
  <c r="AJ11" i="280"/>
  <c r="AH11" i="280"/>
  <c r="AK15" i="280"/>
  <c r="AG15" i="280"/>
  <c r="AI15" i="280"/>
  <c r="AJ15" i="280"/>
  <c r="AH15" i="280"/>
  <c r="AH19" i="280"/>
  <c r="AG19" i="280"/>
  <c r="AJ19" i="280"/>
  <c r="AK19" i="280"/>
  <c r="AI19" i="280"/>
  <c r="AU9" i="280"/>
  <c r="AT9" i="280"/>
  <c r="AW9" i="280"/>
  <c r="AX9" i="280"/>
  <c r="AV9" i="280"/>
  <c r="BH13" i="280"/>
  <c r="BK13" i="280"/>
  <c r="BG13" i="280"/>
  <c r="BI13" i="280"/>
  <c r="BJ13" i="280"/>
  <c r="CH8" i="280"/>
  <c r="CI8" i="280"/>
  <c r="CG8" i="280"/>
  <c r="CJ8" i="280"/>
  <c r="CK8" i="280"/>
  <c r="AU17" i="280"/>
  <c r="AT17" i="280"/>
  <c r="AW17" i="280"/>
  <c r="AX17" i="280"/>
  <c r="AV17" i="280"/>
  <c r="AU7" i="280"/>
  <c r="AV7" i="280"/>
  <c r="AX7" i="280"/>
  <c r="AT7" i="280"/>
  <c r="AW7" i="280"/>
  <c r="AU15" i="280"/>
  <c r="AV15" i="280"/>
  <c r="AX15" i="280"/>
  <c r="AW15" i="280"/>
  <c r="AT15" i="280"/>
  <c r="BU16" i="280"/>
  <c r="BW16" i="280"/>
  <c r="BV16" i="280"/>
  <c r="BX16" i="280"/>
  <c r="BT16" i="280"/>
  <c r="CH6" i="280"/>
  <c r="CJ6" i="280"/>
  <c r="CI6" i="280"/>
  <c r="CK6" i="280"/>
  <c r="CG6" i="280"/>
  <c r="AU11" i="280"/>
  <c r="AX11" i="280"/>
  <c r="AV11" i="280"/>
  <c r="AW11" i="280"/>
  <c r="AT11" i="280"/>
  <c r="BU8" i="280"/>
  <c r="BW8" i="280"/>
  <c r="BV8" i="280"/>
  <c r="BX8" i="280"/>
  <c r="BT8" i="280"/>
  <c r="BU12" i="280"/>
  <c r="BT12" i="280"/>
  <c r="BX12" i="280"/>
  <c r="BV12" i="280"/>
  <c r="BW12" i="280"/>
  <c r="BU20" i="280"/>
  <c r="BT20" i="280"/>
  <c r="BX20" i="280"/>
  <c r="BV20" i="280"/>
  <c r="BW20" i="280"/>
  <c r="CH10" i="280"/>
  <c r="CG10" i="280"/>
  <c r="CK10" i="280"/>
  <c r="CI10" i="280"/>
  <c r="CJ10" i="280"/>
  <c r="AJ20" i="280"/>
  <c r="AG20" i="280"/>
  <c r="AI20" i="280"/>
  <c r="AK20" i="280"/>
  <c r="AH20" i="280"/>
  <c r="AW6" i="280"/>
  <c r="AV6" i="280"/>
  <c r="AT6" i="280"/>
  <c r="AX6" i="280"/>
  <c r="AU6" i="280"/>
  <c r="AW8" i="280"/>
  <c r="AU8" i="280"/>
  <c r="AX8" i="280"/>
  <c r="AV8" i="280"/>
  <c r="AT8" i="280"/>
  <c r="AW10" i="280"/>
  <c r="AT10" i="280"/>
  <c r="AV10" i="280"/>
  <c r="AX10" i="280"/>
  <c r="AU10" i="280"/>
  <c r="AW12" i="280"/>
  <c r="AX12" i="280"/>
  <c r="AU12" i="280"/>
  <c r="AV12" i="280"/>
  <c r="AT12" i="280"/>
  <c r="AW14" i="280"/>
  <c r="AV14" i="280"/>
  <c r="AT14" i="280"/>
  <c r="AU14" i="280"/>
  <c r="AX14" i="280"/>
  <c r="AW16" i="280"/>
  <c r="AU16" i="280"/>
  <c r="AX16" i="280"/>
  <c r="AT16" i="280"/>
  <c r="AV16" i="280"/>
  <c r="AW18" i="280"/>
  <c r="AV18" i="280"/>
  <c r="AT18" i="280"/>
  <c r="AX18" i="280"/>
  <c r="AU18" i="280"/>
  <c r="AW20" i="280"/>
  <c r="AV20" i="280"/>
  <c r="AX20" i="280"/>
  <c r="AT20" i="280"/>
  <c r="AU20" i="280"/>
  <c r="BJ6" i="280"/>
  <c r="BI6" i="280"/>
  <c r="BK6" i="280"/>
  <c r="BG6" i="280"/>
  <c r="BH6" i="280"/>
  <c r="BJ8" i="280"/>
  <c r="BI8" i="280"/>
  <c r="BG8" i="280"/>
  <c r="BK8" i="280"/>
  <c r="BH8" i="280"/>
  <c r="BJ10" i="280"/>
  <c r="BI10" i="280"/>
  <c r="BK10" i="280"/>
  <c r="BG10" i="280"/>
  <c r="BH10" i="280"/>
  <c r="BJ12" i="280"/>
  <c r="BI12" i="280"/>
  <c r="BG12" i="280"/>
  <c r="BK12" i="280"/>
  <c r="BH12" i="280"/>
  <c r="BJ14" i="280"/>
  <c r="BI14" i="280"/>
  <c r="BK14" i="280"/>
  <c r="BG14" i="280"/>
  <c r="BH14" i="280"/>
  <c r="BJ16" i="280"/>
  <c r="BI16" i="280"/>
  <c r="BG16" i="280"/>
  <c r="BK16" i="280"/>
  <c r="BH16" i="280"/>
  <c r="BJ18" i="280"/>
  <c r="BI18" i="280"/>
  <c r="BK18" i="280"/>
  <c r="BG18" i="280"/>
  <c r="BH18" i="280"/>
  <c r="BJ20" i="280"/>
  <c r="BI20" i="280"/>
  <c r="BG20" i="280"/>
  <c r="BK20" i="280"/>
  <c r="BH20" i="280"/>
  <c r="BU6" i="280"/>
  <c r="BX6" i="280"/>
  <c r="BW6" i="280"/>
  <c r="BT6" i="280"/>
  <c r="BV6" i="280"/>
  <c r="BU14" i="280"/>
  <c r="BX14" i="280"/>
  <c r="BW14" i="280"/>
  <c r="BT14" i="280"/>
  <c r="BV14" i="280"/>
  <c r="CH12" i="280"/>
  <c r="CK12" i="280"/>
  <c r="CJ12" i="280"/>
  <c r="CG12" i="280"/>
  <c r="CI12" i="280"/>
  <c r="BW7" i="280"/>
  <c r="BX7" i="280"/>
  <c r="BV7" i="280"/>
  <c r="BT7" i="280"/>
  <c r="BU7" i="280"/>
  <c r="BW9" i="280"/>
  <c r="BV9" i="280"/>
  <c r="BU9" i="280"/>
  <c r="BX9" i="280"/>
  <c r="BT9" i="280"/>
  <c r="BW11" i="280"/>
  <c r="BU11" i="280"/>
  <c r="BT11" i="280"/>
  <c r="BV11" i="280"/>
  <c r="BX11" i="280"/>
  <c r="BW13" i="280"/>
  <c r="BT13" i="280"/>
  <c r="BX13" i="280"/>
  <c r="BU13" i="280"/>
  <c r="BV13" i="280"/>
  <c r="BW15" i="280"/>
  <c r="BX15" i="280"/>
  <c r="BV15" i="280"/>
  <c r="BT15" i="280"/>
  <c r="BU15" i="280"/>
  <c r="BW17" i="280"/>
  <c r="BV17" i="280"/>
  <c r="BU17" i="280"/>
  <c r="BX17" i="280"/>
  <c r="BT17" i="280"/>
  <c r="BW19" i="280"/>
  <c r="BU19" i="280"/>
  <c r="BT19" i="280"/>
  <c r="BV19" i="280"/>
  <c r="BX19" i="280"/>
  <c r="CJ7" i="280"/>
  <c r="CI7" i="280"/>
  <c r="CH7" i="280"/>
  <c r="CK7" i="280"/>
  <c r="CG7" i="280"/>
  <c r="CJ9" i="280"/>
  <c r="CH9" i="280"/>
  <c r="CG9" i="280"/>
  <c r="CI9" i="280"/>
  <c r="CK9" i="280"/>
  <c r="CJ11" i="280"/>
  <c r="CG11" i="280"/>
  <c r="CK11" i="280"/>
  <c r="CH11" i="280"/>
  <c r="CI11" i="280"/>
  <c r="CJ13" i="280"/>
  <c r="CK13" i="280"/>
  <c r="CI13" i="280"/>
  <c r="CG13" i="280"/>
  <c r="CH13" i="280"/>
  <c r="CH15" i="280"/>
  <c r="CJ15" i="280"/>
  <c r="CG15" i="280"/>
  <c r="CI15" i="280"/>
  <c r="CK15" i="280"/>
  <c r="CH17" i="280"/>
  <c r="CJ17" i="280"/>
  <c r="CK17" i="280"/>
  <c r="CI17" i="280"/>
  <c r="CG17" i="280"/>
  <c r="CH19" i="280"/>
  <c r="CK19" i="280"/>
  <c r="CG19" i="280"/>
  <c r="CJ19" i="280"/>
  <c r="CI19" i="280"/>
  <c r="CU7" i="280"/>
  <c r="CX7" i="280"/>
  <c r="CT7" i="280"/>
  <c r="CW7" i="280"/>
  <c r="CV7" i="280"/>
  <c r="CU9" i="280"/>
  <c r="CX9" i="280"/>
  <c r="CT9" i="280"/>
  <c r="CW9" i="280"/>
  <c r="CV9" i="280"/>
  <c r="CU11" i="280"/>
  <c r="CX11" i="280"/>
  <c r="CT11" i="280"/>
  <c r="CW11" i="280"/>
  <c r="CV11" i="280"/>
  <c r="DH6" i="280"/>
  <c r="DK6" i="280"/>
  <c r="DG6" i="280"/>
  <c r="DJ6" i="280"/>
  <c r="DI6" i="280"/>
  <c r="DH8" i="280"/>
  <c r="DK8" i="280"/>
  <c r="DG8" i="280"/>
  <c r="DJ8" i="280"/>
  <c r="DI8" i="280"/>
  <c r="DH10" i="280"/>
  <c r="DK10" i="280"/>
  <c r="DG10" i="280"/>
  <c r="DJ10" i="280"/>
  <c r="DI10" i="280"/>
  <c r="DU7" i="280"/>
  <c r="DX7" i="280"/>
  <c r="DT7" i="280"/>
  <c r="DW7" i="280"/>
  <c r="DV7" i="280"/>
  <c r="DU9" i="280"/>
  <c r="DX9" i="280"/>
  <c r="DT9" i="280"/>
  <c r="DW9" i="280"/>
  <c r="DV9" i="280"/>
  <c r="EH6" i="280"/>
  <c r="EK6" i="280"/>
  <c r="EG6" i="280"/>
  <c r="EJ6" i="280"/>
  <c r="EI6" i="280"/>
  <c r="EH8" i="280"/>
  <c r="EK8" i="280"/>
  <c r="EG8" i="280"/>
  <c r="EJ8" i="280"/>
  <c r="EI8" i="280"/>
  <c r="EU7" i="280"/>
  <c r="EX7" i="280"/>
  <c r="ET7" i="280"/>
  <c r="EW7" i="280"/>
  <c r="EV7" i="280"/>
  <c r="EU9" i="280"/>
  <c r="EX9" i="280"/>
  <c r="ET9" i="280"/>
  <c r="EW9" i="280"/>
  <c r="EV9" i="280"/>
  <c r="FH7" i="280"/>
  <c r="FK7" i="280"/>
  <c r="FG7" i="280"/>
  <c r="FJ7" i="280"/>
  <c r="FI7" i="280"/>
  <c r="FH9" i="280"/>
  <c r="FK9" i="280"/>
  <c r="FG9" i="280"/>
  <c r="FJ9" i="280"/>
  <c r="FI9" i="280"/>
  <c r="CJ14" i="280"/>
  <c r="CH14" i="280"/>
  <c r="CK14" i="280"/>
  <c r="CG14" i="280"/>
  <c r="CI14" i="280"/>
  <c r="CJ16" i="280"/>
  <c r="CH16" i="280"/>
  <c r="CI16" i="280"/>
  <c r="CG16" i="280"/>
  <c r="CK16" i="280"/>
  <c r="CJ18" i="280"/>
  <c r="CI18" i="280"/>
  <c r="CH18" i="280"/>
  <c r="CG18" i="280"/>
  <c r="CK18" i="280"/>
  <c r="CJ20" i="280"/>
  <c r="CI20" i="280"/>
  <c r="CH20" i="280"/>
  <c r="CG20" i="280"/>
  <c r="CK20" i="280"/>
  <c r="CW6" i="280"/>
  <c r="CV6" i="280"/>
  <c r="CU6" i="280"/>
  <c r="CX6" i="280"/>
  <c r="CT6" i="280"/>
  <c r="CW8" i="280"/>
  <c r="CV8" i="280"/>
  <c r="CU8" i="280"/>
  <c r="CT8" i="280"/>
  <c r="CX8" i="280"/>
  <c r="CW10" i="280"/>
  <c r="CV10" i="280"/>
  <c r="CU10" i="280"/>
  <c r="CT10" i="280"/>
  <c r="CX10" i="280"/>
  <c r="DJ7" i="280"/>
  <c r="DI7" i="280"/>
  <c r="DH7" i="280"/>
  <c r="DG7" i="280"/>
  <c r="DK7" i="280"/>
  <c r="DJ9" i="280"/>
  <c r="DI9" i="280"/>
  <c r="DH9" i="280"/>
  <c r="DG9" i="280"/>
  <c r="DK9" i="280"/>
  <c r="DJ11" i="280"/>
  <c r="DI11" i="280"/>
  <c r="DH11" i="280"/>
  <c r="DK11" i="280"/>
  <c r="DG11" i="280"/>
  <c r="DW6" i="280"/>
  <c r="DV6" i="280"/>
  <c r="DU6" i="280"/>
  <c r="DT6" i="280"/>
  <c r="DX6" i="280"/>
  <c r="DW8" i="280"/>
  <c r="DV8" i="280"/>
  <c r="DU8" i="280"/>
  <c r="DT8" i="280"/>
  <c r="DX8" i="280"/>
  <c r="EJ7" i="280"/>
  <c r="EI7" i="280"/>
  <c r="EH7" i="280"/>
  <c r="EG7" i="280"/>
  <c r="EK7" i="280"/>
  <c r="EJ9" i="280"/>
  <c r="EI9" i="280"/>
  <c r="EH9" i="280"/>
  <c r="EG9" i="280"/>
  <c r="EK9" i="280"/>
  <c r="EW6" i="280"/>
  <c r="EV6" i="280"/>
  <c r="EU6" i="280"/>
  <c r="EX6" i="280"/>
  <c r="ET6" i="280"/>
  <c r="EW8" i="280"/>
  <c r="EV8" i="280"/>
  <c r="EU8" i="280"/>
  <c r="ET8" i="280"/>
  <c r="EX8" i="280"/>
  <c r="EW10" i="280"/>
  <c r="EV10" i="280"/>
  <c r="EU10" i="280"/>
  <c r="ET10" i="280"/>
  <c r="EX10" i="280"/>
  <c r="FJ6" i="280"/>
  <c r="FI6" i="280"/>
  <c r="FH6" i="280"/>
  <c r="FK6" i="280"/>
  <c r="FG6" i="280"/>
  <c r="FJ8" i="280"/>
  <c r="FI8" i="280"/>
  <c r="FH8" i="280"/>
  <c r="FG8" i="280"/>
  <c r="FK8" i="280"/>
  <c r="FJ10" i="280"/>
  <c r="FI10" i="280"/>
  <c r="FH10" i="280"/>
  <c r="FG10" i="280"/>
  <c r="FK10" i="280"/>
  <c r="E8" i="275"/>
  <c r="DX4" i="280" l="1"/>
  <c r="FK4" i="280"/>
  <c r="CW4" i="280"/>
  <c r="AX4" i="280"/>
  <c r="W4" i="280"/>
  <c r="J4" i="280"/>
  <c r="AJ4" i="280"/>
  <c r="CX4" i="280"/>
  <c r="EK4" i="280"/>
  <c r="BW4" i="280"/>
  <c r="BK4" i="280"/>
  <c r="CJ4" i="280"/>
  <c r="EW4" i="280"/>
  <c r="DW4" i="280"/>
  <c r="DK4" i="280"/>
  <c r="BX4" i="280"/>
  <c r="K4" i="280"/>
  <c r="AK4" i="280"/>
  <c r="DJ4" i="280"/>
  <c r="FJ4" i="280"/>
  <c r="EX4" i="280"/>
  <c r="EJ4" i="280"/>
  <c r="BJ4" i="280"/>
  <c r="AW4" i="280"/>
  <c r="CK4" i="280"/>
  <c r="X4" i="280"/>
  <c r="B1" i="280" l="1"/>
</calcChain>
</file>

<file path=xl/sharedStrings.xml><?xml version="1.0" encoding="utf-8"?>
<sst xmlns="http://schemas.openxmlformats.org/spreadsheetml/2006/main" count="361" uniqueCount="87">
  <si>
    <t>Sequence</t>
  </si>
  <si>
    <t>Value</t>
  </si>
  <si>
    <t>Remarks</t>
  </si>
  <si>
    <t>Yes</t>
  </si>
  <si>
    <t>CPU time limit (seconds)</t>
  </si>
  <si>
    <t>1.Items</t>
  </si>
  <si>
    <t>Number of types of items</t>
  </si>
  <si>
    <t>2.Bins</t>
  </si>
  <si>
    <t>Number of types of bins</t>
  </si>
  <si>
    <t>3.Solution</t>
  </si>
  <si>
    <t>4.Optional - Visualization</t>
  </si>
  <si>
    <t>Item labels</t>
  </si>
  <si>
    <t>Bin labels</t>
  </si>
  <si>
    <t>5.Solver</t>
  </si>
  <si>
    <t>Area</t>
  </si>
  <si>
    <t>No</t>
  </si>
  <si>
    <t>[1,10]</t>
  </si>
  <si>
    <t>Hide top right corner coordinates?</t>
  </si>
  <si>
    <t>[1,100]</t>
  </si>
  <si>
    <t>Also minimize distance between identical items?</t>
  </si>
  <si>
    <t>Show progress on status bar?</t>
  </si>
  <si>
    <t>May slow down the solution algorithm.</t>
  </si>
  <si>
    <t>First-Fit-Decreasing based on:</t>
  </si>
  <si>
    <t>Parameter</t>
  </si>
  <si>
    <t>Automatic</t>
  </si>
  <si>
    <t>Zoom</t>
  </si>
  <si>
    <t>Recommendation: at least one second per item</t>
  </si>
  <si>
    <t>Height</t>
  </si>
  <si>
    <t>Item Type ID</t>
  </si>
  <si>
    <t>Name</t>
  </si>
  <si>
    <t>Image file name</t>
  </si>
  <si>
    <t>Width (x)</t>
  </si>
  <si>
    <t>Height (y)</t>
  </si>
  <si>
    <t xml:space="preserve">Area         </t>
  </si>
  <si>
    <t>Can be rotated?</t>
  </si>
  <si>
    <t>Must be packed?</t>
  </si>
  <si>
    <t>Profit</t>
  </si>
  <si>
    <t>Number of items</t>
  </si>
  <si>
    <t>Must be packed</t>
  </si>
  <si>
    <t>Bin Type ID</t>
  </si>
  <si>
    <t>May be used?</t>
  </si>
  <si>
    <t>Cost</t>
  </si>
  <si>
    <t>Number of bins</t>
  </si>
  <si>
    <t>May be used</t>
  </si>
  <si>
    <t>Total net profit:</t>
  </si>
  <si>
    <t>Item count</t>
  </si>
  <si>
    <t>Item type name</t>
  </si>
  <si>
    <t>Bottom left corner</t>
  </si>
  <si>
    <t>x coordinate</t>
  </si>
  <si>
    <t>y coordinate</t>
  </si>
  <si>
    <t>Rotated?</t>
  </si>
  <si>
    <t>Item type ID</t>
  </si>
  <si>
    <t>Top right corner</t>
  </si>
  <si>
    <t>Max number of items</t>
  </si>
  <si>
    <t>Total area</t>
  </si>
  <si>
    <t>Net profit</t>
  </si>
  <si>
    <t>List of detected infeasibilities</t>
  </si>
  <si>
    <t>Iron</t>
  </si>
  <si>
    <t>rbci</t>
  </si>
  <si>
    <t xml:space="preserve">other </t>
  </si>
  <si>
    <t xml:space="preserve">opat </t>
  </si>
  <si>
    <t>Bin type 1</t>
  </si>
  <si>
    <t>Bin 1 of Bin type 1</t>
  </si>
  <si>
    <t>Bin 2 of Bin type 1</t>
  </si>
  <si>
    <t>Bin 3 of Bin type 1</t>
  </si>
  <si>
    <t>Bin 4 of Bin type 1</t>
  </si>
  <si>
    <t>Bin 5 of Bin type 1</t>
  </si>
  <si>
    <t>Bin 6 of Bin type 1</t>
  </si>
  <si>
    <t>Bin 7 of Bin type 1</t>
  </si>
  <si>
    <t>Bin type 2</t>
  </si>
  <si>
    <t>Bin 1 of Bin type 2</t>
  </si>
  <si>
    <t>Bin 2 of Bin type 2</t>
  </si>
  <si>
    <t>Bin type 3</t>
  </si>
  <si>
    <t>Bin type 4</t>
  </si>
  <si>
    <t>Bin 1 of Bin type 3</t>
  </si>
  <si>
    <t>Bin 2 of Bin type 3</t>
  </si>
  <si>
    <t>Bin 1 of Bin type 4</t>
  </si>
  <si>
    <t>Bin 2 of Bin type 4</t>
  </si>
  <si>
    <t xml:space="preserve">Chair 1 </t>
  </si>
  <si>
    <t xml:space="preserve">Chair 2 </t>
  </si>
  <si>
    <t>Chair 3</t>
  </si>
  <si>
    <t>Chair 4</t>
  </si>
  <si>
    <t>Chair 5</t>
  </si>
  <si>
    <t>Chair 6</t>
  </si>
  <si>
    <t>Chair 7</t>
  </si>
  <si>
    <t>Chair 8</t>
  </si>
  <si>
    <t xml:space="preserve">Chair 9 </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</si>
</sst>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0"/>
      <color indexed="8"/>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b/>
      <sz val="11"/>
      <color indexed="9"/>
      <name val="Calibri"/>
      <family val="2"/>
      <scheme val="minor"/>
    </font>
    <font>
      <sz val="11"/>
      <color indexed="8"/>
      <name val="Calibri"/>
      <family val="2"/>
      <scheme val="minor"/>
    </font>
    <font>
      <b/>
      <sz val="11"/>
      <color indexed="8"/>
      <name val="Calibri"/>
      <family val="2"/>
      <scheme val="minor"/>
    </font>
  </fonts>
  <fills count="39">
    <fill>
      <patternFill patternType="none"/>
    </fill>
    <fill>
      <patternFill patternType="gray125"/>
    </fill>
    <fill>
      <patternFill patternType="solid">
        <fgColor indexed="8"/>
        <bgColor indexed="64"/>
      </patternFill>
    </fill>
    <fill>
      <patternFill patternType="solid">
        <fgColor indexed="17"/>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17" tint="-1.9989623706778162E-2"/>
        <bgColor indexed="64"/>
      </patternFill>
    </fill>
    <fill>
      <patternFill patternType="solid">
        <fgColor indexed="13"/>
        <bgColor indexed="64"/>
      </patternFill>
    </fill>
    <fill>
      <patternFill patternType="solid">
        <fgColor indexed="17" tint="1.9989623706778162E-2"/>
        <bgColor indexed="64"/>
      </patternFill>
    </fill>
    <fill>
      <patternFill patternType="solid">
        <fgColor indexed="35"/>
        <bgColor indexed="64"/>
      </patternFill>
    </fill>
  </fills>
  <borders count="13">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indexed="23"/>
      </top>
      <bottom/>
      <diagonal/>
    </border>
  </borders>
  <cellStyleXfs count="43">
    <xf numFmtId="0" fontId="0" fillId="0" borderId="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4" fillId="28" borderId="0" applyNumberFormat="0" applyBorder="0" applyAlignment="0" applyProtection="0"/>
    <xf numFmtId="0" fontId="5" fillId="29" borderId="3" applyNumberFormat="0" applyAlignment="0" applyProtection="0"/>
    <xf numFmtId="0" fontId="6" fillId="30" borderId="4" applyNumberFormat="0" applyAlignment="0" applyProtection="0"/>
    <xf numFmtId="0" fontId="7" fillId="0" borderId="0" applyNumberFormat="0" applyFill="0" applyBorder="0" applyAlignment="0" applyProtection="0"/>
    <xf numFmtId="0" fontId="8" fillId="31" borderId="0" applyNumberFormat="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12" fillId="32" borderId="3" applyNumberFormat="0" applyAlignment="0" applyProtection="0"/>
    <xf numFmtId="0" fontId="13" fillId="0" borderId="8" applyNumberFormat="0" applyFill="0" applyAlignment="0" applyProtection="0"/>
    <xf numFmtId="0" fontId="14" fillId="33" borderId="0" applyNumberFormat="0" applyBorder="0" applyAlignment="0" applyProtection="0"/>
    <xf numFmtId="0" fontId="2" fillId="0" borderId="0"/>
    <xf numFmtId="0" fontId="1" fillId="34" borderId="9" applyNumberFormat="0" applyFont="0" applyAlignment="0" applyProtection="0"/>
    <xf numFmtId="0" fontId="15" fillId="29" borderId="10" applyNumberFormat="0" applyAlignment="0" applyProtection="0"/>
    <xf numFmtId="0" fontId="16" fillId="0" borderId="0" applyNumberFormat="0" applyFill="0" applyBorder="0" applyAlignment="0" applyProtection="0"/>
    <xf numFmtId="0" fontId="17" fillId="0" borderId="11" applyNumberFormat="0" applyFill="0" applyAlignment="0" applyProtection="0"/>
    <xf numFmtId="0" fontId="18" fillId="0" borderId="0" applyNumberFormat="0" applyFill="0" applyBorder="0" applyAlignment="0" applyProtection="0"/>
  </cellStyleXfs>
  <cellXfs count="36">
    <xf numFmtId="0" fontId="0" fillId="0" borderId="0" xfId="0"/>
    <xf numFmtId="0" fontId="0" fillId="0" borderId="1" xfId="0" applyBorder="1"/>
    <xf numFmtId="0" fontId="0" fillId="0" borderId="2" xfId="0" applyBorder="1"/>
    <xf numFmtId="0" fontId="19" fillId="0" borderId="0" xfId="0" applyFont="1"/>
    <xf numFmtId="0" fontId="19" fillId="0" borderId="1" xfId="0" applyFont="1" applyBorder="1"/>
    <xf numFmtId="0" fontId="20" fillId="3" borderId="1" xfId="0" applyFont="1" applyFill="1" applyBorder="1"/>
    <xf numFmtId="0" fontId="21" fillId="2" borderId="0" xfId="0" applyFont="1" applyFill="1" applyBorder="1"/>
    <xf numFmtId="0" fontId="19" fillId="0" borderId="2" xfId="0" applyFont="1" applyBorder="1"/>
    <xf numFmtId="0" fontId="20" fillId="3" borderId="2" xfId="0" applyFont="1" applyFill="1" applyBorder="1"/>
    <xf numFmtId="0" fontId="19" fillId="0" borderId="0" xfId="0" applyFont="1" applyBorder="1"/>
    <xf numFmtId="0" fontId="20" fillId="2" borderId="1" xfId="0" applyFont="1" applyFill="1" applyBorder="1"/>
    <xf numFmtId="2" fontId="22" fillId="36" borderId="1" xfId="0" applyNumberFormat="1" applyFont="1" applyFill="1" applyBorder="1"/>
    <xf numFmtId="0" fontId="20" fillId="2" borderId="12" xfId="0" applyFont="1" applyFill="1" applyBorder="1"/>
    <xf numFmtId="0" fontId="20" fillId="35" borderId="12" xfId="0" applyFont="1" applyFill="1" applyBorder="1"/>
    <xf numFmtId="2" fontId="20" fillId="35" borderId="12" xfId="0" applyNumberFormat="1" applyFont="1" applyFill="1" applyBorder="1"/>
    <xf numFmtId="2" fontId="22" fillId="36" borderId="12" xfId="0" applyNumberFormat="1" applyFont="1" applyFill="1" applyBorder="1"/>
    <xf numFmtId="0" fontId="20" fillId="37" borderId="1" xfId="0" applyFont="1" applyFill="1" applyBorder="1"/>
    <xf numFmtId="2" fontId="20" fillId="37" borderId="1" xfId="0" applyNumberFormat="1" applyFont="1" applyFill="1" applyBorder="1"/>
    <xf numFmtId="0" fontId="20" fillId="2" borderId="0" xfId="0" applyFont="1" applyFill="1" applyBorder="1"/>
    <xf numFmtId="0" fontId="22" fillId="38" borderId="0" xfId="0" applyFont="1" applyFill="1" applyBorder="1"/>
    <xf numFmtId="2" fontId="22" fillId="38" borderId="0" xfId="0" applyNumberFormat="1" applyFont="1" applyFill="1" applyBorder="1"/>
    <xf numFmtId="0" fontId="22" fillId="36" borderId="0" xfId="0" applyFont="1" applyFill="1" applyBorder="1"/>
    <xf numFmtId="2" fontId="22" fillId="36" borderId="0" xfId="0" applyNumberFormat="1" applyFont="1" applyFill="1" applyBorder="1"/>
    <xf numFmtId="0" fontId="22" fillId="38" borderId="1" xfId="0" applyFont="1" applyFill="1" applyBorder="1"/>
    <xf numFmtId="2" fontId="22" fillId="38" borderId="1" xfId="0" applyNumberFormat="1" applyFont="1" applyFill="1" applyBorder="1"/>
    <xf numFmtId="0" fontId="22" fillId="36" borderId="1" xfId="0" applyFont="1" applyFill="1" applyBorder="1"/>
    <xf numFmtId="0" fontId="22" fillId="38" borderId="12" xfId="0" applyFont="1" applyFill="1" applyBorder="1"/>
    <xf numFmtId="2" fontId="22" fillId="38" borderId="12" xfId="0" applyNumberFormat="1" applyFont="1" applyFill="1" applyBorder="1"/>
    <xf numFmtId="0" fontId="22" fillId="36" borderId="12" xfId="0" applyFont="1" applyFill="1" applyBorder="1"/>
    <xf numFmtId="2" fontId="23" fillId="36" borderId="0" xfId="0" applyNumberFormat="1" applyFont="1" applyFill="1"/>
    <xf numFmtId="0" fontId="19" fillId="36" borderId="0" xfId="0" applyFont="1" applyFill="1"/>
    <xf numFmtId="2" fontId="19" fillId="36" borderId="0" xfId="0" applyNumberFormat="1" applyFont="1" applyFill="1"/>
    <xf numFmtId="0" fontId="19" fillId="0" borderId="0" xfId="0" applyFont="1" applyFill="1"/>
    <xf numFmtId="0" fontId="19" fillId="0" borderId="0" xfId="0" applyFont="1" applyAlignment="1">
      <alignment horizontal="center"/>
    </xf>
    <xf numFmtId="0" fontId="20" fillId="37" borderId="12" xfId="0" applyFont="1" applyFill="1" applyBorder="1"/>
    <xf numFmtId="2" fontId="20" fillId="37" borderId="12" xfId="0" applyNumberFormat="1" applyFont="1" applyFill="1" applyBorder="1"/>
  </cellXfs>
  <cellStyles count="43">
    <cellStyle name="20% - Accent1 2" xfId="1"/>
    <cellStyle name="20% - Accent2 2" xfId="2"/>
    <cellStyle name="20% - Accent3 2" xfId="3"/>
    <cellStyle name="20% - Accent4 2" xfId="4"/>
    <cellStyle name="20% - Accent5 2" xfId="5"/>
    <cellStyle name="20% - Accent6 2" xfId="6"/>
    <cellStyle name="40% - Accent1 2" xfId="7"/>
    <cellStyle name="40% - Accent2 2" xfId="8"/>
    <cellStyle name="40% - Accent3 2" xfId="9"/>
    <cellStyle name="40% - Accent4 2" xfId="10"/>
    <cellStyle name="40% - Accent5 2" xfId="11"/>
    <cellStyle name="40% - Accent6 2" xfId="12"/>
    <cellStyle name="60% - Accent1 2" xfId="13"/>
    <cellStyle name="60% - Accent2 2" xfId="14"/>
    <cellStyle name="60% - Accent3 2" xfId="15"/>
    <cellStyle name="60% - Accent4 2" xfId="16"/>
    <cellStyle name="60% - Accent5 2" xfId="17"/>
    <cellStyle name="60% - Accent6 2" xfId="18"/>
    <cellStyle name="Accent1 2" xfId="19"/>
    <cellStyle name="Accent2 2" xfId="20"/>
    <cellStyle name="Accent3 2" xfId="21"/>
    <cellStyle name="Accent4 2" xfId="22"/>
    <cellStyle name="Accent5 2" xfId="23"/>
    <cellStyle name="Accent6 2" xfId="24"/>
    <cellStyle name="Bad 2" xfId="25"/>
    <cellStyle name="Calculation 2" xfId="26"/>
    <cellStyle name="Check Cell 2" xfId="27"/>
    <cellStyle name="Explanatory Text 2" xfId="28"/>
    <cellStyle name="Good 2" xfId="29"/>
    <cellStyle name="Heading 1 2" xfId="30"/>
    <cellStyle name="Heading 2 2" xfId="31"/>
    <cellStyle name="Heading 3 2" xfId="32"/>
    <cellStyle name="Heading 4 2" xfId="33"/>
    <cellStyle name="Input 2" xfId="34"/>
    <cellStyle name="Linked Cell 2" xfId="35"/>
    <cellStyle name="Neutral 2" xfId="36"/>
    <cellStyle name="Normal" xfId="0" builtinId="0"/>
    <cellStyle name="Normal 2" xfId="37"/>
    <cellStyle name="Note 2" xfId="38"/>
    <cellStyle name="Output 2" xfId="39"/>
    <cellStyle name="Title" xfId="40" builtinId="15" customBuiltin="1"/>
    <cellStyle name="Total 2" xfId="41"/>
    <cellStyle name="Warning Text 2" xfId="42"/>
  </cellStyles>
  <dxfs count="481">
    <dxf>
      <fill>
        <patternFill>
          <bgColor indexed="10"/>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patternType="solid">
          <bgColor indexed="10"/>
        </patternFill>
      </fill>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ont>
        <color indexed="35"/>
      </font>
    </dxf>
    <dxf>
      <fill>
        <patternFill patternType="solid">
          <bgColor indexed="13"/>
        </patternFill>
      </fill>
    </dxf>
    <dxf>
      <fill>
        <patternFill patternType="solid">
          <bgColor indexed="13"/>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5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50"/>
        </patternFill>
      </fill>
    </dxf>
    <dxf>
      <fill>
        <patternFill>
          <bgColor indexed="10"/>
        </patternFill>
      </fill>
    </dxf>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25</xdr:col>
      <xdr:colOff>0</xdr:colOff>
      <xdr:row>16</xdr:row>
      <xdr:rowOff>63500</xdr:rowOff>
    </xdr:from>
    <xdr:to>
      <xdr:col>25</xdr:col>
      <xdr:colOff>508000</xdr:colOff>
      <xdr:row>23</xdr:row>
      <xdr:rowOff>0</xdr:rowOff>
    </xdr:to>
    <xdr:sp macro="" textlink="">
      <xdr:nvSpPr>
        <xdr:cNvPr id="260" name="Rectangle 259"/>
        <xdr:cNvSpPr/>
      </xdr:nvSpPr>
      <xdr:spPr>
        <a:xfrm>
          <a:off x="15240000" y="2921000"/>
          <a:ext cx="508000" cy="127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23</xdr:col>
      <xdr:colOff>0</xdr:colOff>
      <xdr:row>16</xdr:row>
      <xdr:rowOff>63500</xdr:rowOff>
    </xdr:from>
    <xdr:to>
      <xdr:col>23</xdr:col>
      <xdr:colOff>508000</xdr:colOff>
      <xdr:row>23</xdr:row>
      <xdr:rowOff>0</xdr:rowOff>
    </xdr:to>
    <xdr:sp macro="" textlink="">
      <xdr:nvSpPr>
        <xdr:cNvPr id="259" name="Rectangle 258"/>
        <xdr:cNvSpPr/>
      </xdr:nvSpPr>
      <xdr:spPr>
        <a:xfrm>
          <a:off x="14020800" y="2921000"/>
          <a:ext cx="508000" cy="127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21</xdr:col>
      <xdr:colOff>0</xdr:colOff>
      <xdr:row>17</xdr:row>
      <xdr:rowOff>127000</xdr:rowOff>
    </xdr:from>
    <xdr:to>
      <xdr:col>21</xdr:col>
      <xdr:colOff>508000</xdr:colOff>
      <xdr:row>23</xdr:row>
      <xdr:rowOff>0</xdr:rowOff>
    </xdr:to>
    <xdr:sp macro="" textlink="">
      <xdr:nvSpPr>
        <xdr:cNvPr id="258" name="Rectangle 257"/>
        <xdr:cNvSpPr/>
      </xdr:nvSpPr>
      <xdr:spPr>
        <a:xfrm>
          <a:off x="12801600" y="3175000"/>
          <a:ext cx="508000" cy="1016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19</xdr:col>
      <xdr:colOff>0</xdr:colOff>
      <xdr:row>17</xdr:row>
      <xdr:rowOff>127000</xdr:rowOff>
    </xdr:from>
    <xdr:to>
      <xdr:col>19</xdr:col>
      <xdr:colOff>508000</xdr:colOff>
      <xdr:row>23</xdr:row>
      <xdr:rowOff>0</xdr:rowOff>
    </xdr:to>
    <xdr:sp macro="" textlink="">
      <xdr:nvSpPr>
        <xdr:cNvPr id="256" name="Rectangle 255"/>
        <xdr:cNvSpPr/>
      </xdr:nvSpPr>
      <xdr:spPr>
        <a:xfrm>
          <a:off x="11582400" y="3175000"/>
          <a:ext cx="508000" cy="1016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17</xdr:col>
      <xdr:colOff>0</xdr:colOff>
      <xdr:row>15</xdr:row>
      <xdr:rowOff>0</xdr:rowOff>
    </xdr:from>
    <xdr:to>
      <xdr:col>17</xdr:col>
      <xdr:colOff>508000</xdr:colOff>
      <xdr:row>23</xdr:row>
      <xdr:rowOff>0</xdr:rowOff>
    </xdr:to>
    <xdr:sp macro="" textlink="">
      <xdr:nvSpPr>
        <xdr:cNvPr id="254" name="Rectangle 253"/>
        <xdr:cNvSpPr/>
      </xdr:nvSpPr>
      <xdr:spPr>
        <a:xfrm>
          <a:off x="10363200" y="2667000"/>
          <a:ext cx="508000" cy="1524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15</xdr:col>
      <xdr:colOff>0</xdr:colOff>
      <xdr:row>15</xdr:row>
      <xdr:rowOff>0</xdr:rowOff>
    </xdr:from>
    <xdr:to>
      <xdr:col>15</xdr:col>
      <xdr:colOff>508000</xdr:colOff>
      <xdr:row>23</xdr:row>
      <xdr:rowOff>0</xdr:rowOff>
    </xdr:to>
    <xdr:sp macro="" textlink="">
      <xdr:nvSpPr>
        <xdr:cNvPr id="248" name="Rectangle 247"/>
        <xdr:cNvSpPr/>
      </xdr:nvSpPr>
      <xdr:spPr>
        <a:xfrm>
          <a:off x="9144000" y="2667000"/>
          <a:ext cx="508000" cy="1524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13</xdr:col>
      <xdr:colOff>0</xdr:colOff>
      <xdr:row>3</xdr:row>
      <xdr:rowOff>0</xdr:rowOff>
    </xdr:from>
    <xdr:to>
      <xdr:col>13</xdr:col>
      <xdr:colOff>508000</xdr:colOff>
      <xdr:row>23</xdr:row>
      <xdr:rowOff>0</xdr:rowOff>
    </xdr:to>
    <xdr:sp macro="" textlink="">
      <xdr:nvSpPr>
        <xdr:cNvPr id="242" name="Rectangle 241"/>
        <xdr:cNvSpPr/>
      </xdr:nvSpPr>
      <xdr:spPr>
        <a:xfrm>
          <a:off x="7924800" y="381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11</xdr:col>
      <xdr:colOff>0</xdr:colOff>
      <xdr:row>3</xdr:row>
      <xdr:rowOff>0</xdr:rowOff>
    </xdr:from>
    <xdr:to>
      <xdr:col>11</xdr:col>
      <xdr:colOff>508000</xdr:colOff>
      <xdr:row>23</xdr:row>
      <xdr:rowOff>0</xdr:rowOff>
    </xdr:to>
    <xdr:sp macro="" textlink="">
      <xdr:nvSpPr>
        <xdr:cNvPr id="239" name="Rectangle 238"/>
        <xdr:cNvSpPr/>
      </xdr:nvSpPr>
      <xdr:spPr>
        <a:xfrm>
          <a:off x="6705600" y="381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9</xdr:col>
      <xdr:colOff>0</xdr:colOff>
      <xdr:row>3</xdr:row>
      <xdr:rowOff>0</xdr:rowOff>
    </xdr:from>
    <xdr:to>
      <xdr:col>9</xdr:col>
      <xdr:colOff>508000</xdr:colOff>
      <xdr:row>23</xdr:row>
      <xdr:rowOff>0</xdr:rowOff>
    </xdr:to>
    <xdr:sp macro="" textlink="">
      <xdr:nvSpPr>
        <xdr:cNvPr id="236" name="Rectangle 235"/>
        <xdr:cNvSpPr/>
      </xdr:nvSpPr>
      <xdr:spPr>
        <a:xfrm>
          <a:off x="5486400" y="381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7</xdr:col>
      <xdr:colOff>0</xdr:colOff>
      <xdr:row>3</xdr:row>
      <xdr:rowOff>0</xdr:rowOff>
    </xdr:from>
    <xdr:to>
      <xdr:col>7</xdr:col>
      <xdr:colOff>508000</xdr:colOff>
      <xdr:row>23</xdr:row>
      <xdr:rowOff>0</xdr:rowOff>
    </xdr:to>
    <xdr:sp macro="" textlink="">
      <xdr:nvSpPr>
        <xdr:cNvPr id="233" name="Rectangle 232"/>
        <xdr:cNvSpPr/>
      </xdr:nvSpPr>
      <xdr:spPr>
        <a:xfrm>
          <a:off x="4267200" y="381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5</xdr:col>
      <xdr:colOff>0</xdr:colOff>
      <xdr:row>3</xdr:row>
      <xdr:rowOff>0</xdr:rowOff>
    </xdr:from>
    <xdr:to>
      <xdr:col>5</xdr:col>
      <xdr:colOff>508000</xdr:colOff>
      <xdr:row>23</xdr:row>
      <xdr:rowOff>0</xdr:rowOff>
    </xdr:to>
    <xdr:sp macro="" textlink="">
      <xdr:nvSpPr>
        <xdr:cNvPr id="230" name="Rectangle 229"/>
        <xdr:cNvSpPr/>
      </xdr:nvSpPr>
      <xdr:spPr>
        <a:xfrm>
          <a:off x="3048000" y="381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3</xdr:col>
      <xdr:colOff>0</xdr:colOff>
      <xdr:row>3</xdr:row>
      <xdr:rowOff>0</xdr:rowOff>
    </xdr:from>
    <xdr:to>
      <xdr:col>3</xdr:col>
      <xdr:colOff>508000</xdr:colOff>
      <xdr:row>23</xdr:row>
      <xdr:rowOff>0</xdr:rowOff>
    </xdr:to>
    <xdr:sp macro="" textlink="">
      <xdr:nvSpPr>
        <xdr:cNvPr id="227" name="Rectangle 226"/>
        <xdr:cNvSpPr/>
      </xdr:nvSpPr>
      <xdr:spPr>
        <a:xfrm>
          <a:off x="1828800" y="381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xdr:col>
      <xdr:colOff>0</xdr:colOff>
      <xdr:row>3</xdr:row>
      <xdr:rowOff>0</xdr:rowOff>
    </xdr:from>
    <xdr:to>
      <xdr:col>1</xdr:col>
      <xdr:colOff>508000</xdr:colOff>
      <xdr:row>23</xdr:row>
      <xdr:rowOff>0</xdr:rowOff>
    </xdr:to>
    <xdr:sp macro="" textlink="">
      <xdr:nvSpPr>
        <xdr:cNvPr id="224" name="Rectangle 223"/>
        <xdr:cNvSpPr/>
      </xdr:nvSpPr>
      <xdr:spPr>
        <a:xfrm>
          <a:off x="609600" y="381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xdr:col>
      <xdr:colOff>0</xdr:colOff>
      <xdr:row>12</xdr:row>
      <xdr:rowOff>63500</xdr:rowOff>
    </xdr:from>
    <xdr:to>
      <xdr:col>1</xdr:col>
      <xdr:colOff>508000</xdr:colOff>
      <xdr:row>23</xdr:row>
      <xdr:rowOff>0</xdr:rowOff>
    </xdr:to>
    <xdr:sp macro="" textlink="">
      <xdr:nvSpPr>
        <xdr:cNvPr id="225" name="Rectangle 224"/>
        <xdr:cNvSpPr/>
      </xdr:nvSpPr>
      <xdr:spPr>
        <a:xfrm>
          <a:off x="609600" y="2159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1</xdr:col>
      <xdr:colOff>0</xdr:colOff>
      <xdr:row>3</xdr:row>
      <xdr:rowOff>0</xdr:rowOff>
    </xdr:from>
    <xdr:to>
      <xdr:col>1</xdr:col>
      <xdr:colOff>508000</xdr:colOff>
      <xdr:row>12</xdr:row>
      <xdr:rowOff>63500</xdr:rowOff>
    </xdr:to>
    <xdr:sp macro="" textlink="">
      <xdr:nvSpPr>
        <xdr:cNvPr id="226" name="Rectangle 225"/>
        <xdr:cNvSpPr/>
      </xdr:nvSpPr>
      <xdr:spPr>
        <a:xfrm>
          <a:off x="609600" y="381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3</xdr:col>
      <xdr:colOff>0</xdr:colOff>
      <xdr:row>12</xdr:row>
      <xdr:rowOff>63500</xdr:rowOff>
    </xdr:from>
    <xdr:to>
      <xdr:col>3</xdr:col>
      <xdr:colOff>508000</xdr:colOff>
      <xdr:row>23</xdr:row>
      <xdr:rowOff>0</xdr:rowOff>
    </xdr:to>
    <xdr:sp macro="" textlink="">
      <xdr:nvSpPr>
        <xdr:cNvPr id="228" name="Rectangle 227"/>
        <xdr:cNvSpPr/>
      </xdr:nvSpPr>
      <xdr:spPr>
        <a:xfrm>
          <a:off x="1828800" y="2159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3</xdr:col>
      <xdr:colOff>0</xdr:colOff>
      <xdr:row>3</xdr:row>
      <xdr:rowOff>0</xdr:rowOff>
    </xdr:from>
    <xdr:to>
      <xdr:col>3</xdr:col>
      <xdr:colOff>508000</xdr:colOff>
      <xdr:row>12</xdr:row>
      <xdr:rowOff>63500</xdr:rowOff>
    </xdr:to>
    <xdr:sp macro="" textlink="">
      <xdr:nvSpPr>
        <xdr:cNvPr id="229" name="Rectangle 228"/>
        <xdr:cNvSpPr/>
      </xdr:nvSpPr>
      <xdr:spPr>
        <a:xfrm>
          <a:off x="1828800" y="381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5</xdr:col>
      <xdr:colOff>0</xdr:colOff>
      <xdr:row>13</xdr:row>
      <xdr:rowOff>127000</xdr:rowOff>
    </xdr:from>
    <xdr:to>
      <xdr:col>5</xdr:col>
      <xdr:colOff>508000</xdr:colOff>
      <xdr:row>23</xdr:row>
      <xdr:rowOff>0</xdr:rowOff>
    </xdr:to>
    <xdr:sp macro="" textlink="">
      <xdr:nvSpPr>
        <xdr:cNvPr id="231" name="Rectangle 230"/>
        <xdr:cNvSpPr/>
      </xdr:nvSpPr>
      <xdr:spPr>
        <a:xfrm>
          <a:off x="3048000" y="2413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5</xdr:col>
      <xdr:colOff>0</xdr:colOff>
      <xdr:row>3</xdr:row>
      <xdr:rowOff>0</xdr:rowOff>
    </xdr:from>
    <xdr:to>
      <xdr:col>5</xdr:col>
      <xdr:colOff>508000</xdr:colOff>
      <xdr:row>13</xdr:row>
      <xdr:rowOff>127000</xdr:rowOff>
    </xdr:to>
    <xdr:sp macro="" textlink="">
      <xdr:nvSpPr>
        <xdr:cNvPr id="232" name="Rectangle 231"/>
        <xdr:cNvSpPr/>
      </xdr:nvSpPr>
      <xdr:spPr>
        <a:xfrm>
          <a:off x="3048000" y="381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7</xdr:col>
      <xdr:colOff>0</xdr:colOff>
      <xdr:row>12</xdr:row>
      <xdr:rowOff>63500</xdr:rowOff>
    </xdr:from>
    <xdr:to>
      <xdr:col>7</xdr:col>
      <xdr:colOff>508000</xdr:colOff>
      <xdr:row>23</xdr:row>
      <xdr:rowOff>0</xdr:rowOff>
    </xdr:to>
    <xdr:sp macro="" textlink="">
      <xdr:nvSpPr>
        <xdr:cNvPr id="234" name="Rectangle 233"/>
        <xdr:cNvSpPr/>
      </xdr:nvSpPr>
      <xdr:spPr>
        <a:xfrm>
          <a:off x="4267200" y="2159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7</xdr:col>
      <xdr:colOff>0</xdr:colOff>
      <xdr:row>3</xdr:row>
      <xdr:rowOff>0</xdr:rowOff>
    </xdr:from>
    <xdr:to>
      <xdr:col>7</xdr:col>
      <xdr:colOff>508000</xdr:colOff>
      <xdr:row>12</xdr:row>
      <xdr:rowOff>63500</xdr:rowOff>
    </xdr:to>
    <xdr:sp macro="" textlink="">
      <xdr:nvSpPr>
        <xdr:cNvPr id="235" name="Rectangle 234"/>
        <xdr:cNvSpPr/>
      </xdr:nvSpPr>
      <xdr:spPr>
        <a:xfrm>
          <a:off x="4267200" y="381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9</xdr:col>
      <xdr:colOff>0</xdr:colOff>
      <xdr:row>12</xdr:row>
      <xdr:rowOff>63500</xdr:rowOff>
    </xdr:from>
    <xdr:to>
      <xdr:col>9</xdr:col>
      <xdr:colOff>508000</xdr:colOff>
      <xdr:row>23</xdr:row>
      <xdr:rowOff>0</xdr:rowOff>
    </xdr:to>
    <xdr:sp macro="" textlink="">
      <xdr:nvSpPr>
        <xdr:cNvPr id="237" name="Rectangle 236"/>
        <xdr:cNvSpPr/>
      </xdr:nvSpPr>
      <xdr:spPr>
        <a:xfrm>
          <a:off x="5486400" y="2159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9</xdr:col>
      <xdr:colOff>0</xdr:colOff>
      <xdr:row>3</xdr:row>
      <xdr:rowOff>0</xdr:rowOff>
    </xdr:from>
    <xdr:to>
      <xdr:col>9</xdr:col>
      <xdr:colOff>508000</xdr:colOff>
      <xdr:row>12</xdr:row>
      <xdr:rowOff>63500</xdr:rowOff>
    </xdr:to>
    <xdr:sp macro="" textlink="">
      <xdr:nvSpPr>
        <xdr:cNvPr id="238" name="Rectangle 237"/>
        <xdr:cNvSpPr/>
      </xdr:nvSpPr>
      <xdr:spPr>
        <a:xfrm>
          <a:off x="5486400" y="381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11</xdr:col>
      <xdr:colOff>0</xdr:colOff>
      <xdr:row>12</xdr:row>
      <xdr:rowOff>63500</xdr:rowOff>
    </xdr:from>
    <xdr:to>
      <xdr:col>11</xdr:col>
      <xdr:colOff>508000</xdr:colOff>
      <xdr:row>23</xdr:row>
      <xdr:rowOff>0</xdr:rowOff>
    </xdr:to>
    <xdr:sp macro="" textlink="">
      <xdr:nvSpPr>
        <xdr:cNvPr id="240" name="Rectangle 239"/>
        <xdr:cNvSpPr/>
      </xdr:nvSpPr>
      <xdr:spPr>
        <a:xfrm>
          <a:off x="6705600" y="2159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11</xdr:col>
      <xdr:colOff>0</xdr:colOff>
      <xdr:row>3</xdr:row>
      <xdr:rowOff>0</xdr:rowOff>
    </xdr:from>
    <xdr:to>
      <xdr:col>11</xdr:col>
      <xdr:colOff>508000</xdr:colOff>
      <xdr:row>12</xdr:row>
      <xdr:rowOff>63500</xdr:rowOff>
    </xdr:to>
    <xdr:sp macro="" textlink="">
      <xdr:nvSpPr>
        <xdr:cNvPr id="241" name="Rectangle 240"/>
        <xdr:cNvSpPr/>
      </xdr:nvSpPr>
      <xdr:spPr>
        <a:xfrm>
          <a:off x="6705600" y="381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13</xdr:col>
      <xdr:colOff>0</xdr:colOff>
      <xdr:row>12</xdr:row>
      <xdr:rowOff>63500</xdr:rowOff>
    </xdr:from>
    <xdr:to>
      <xdr:col>13</xdr:col>
      <xdr:colOff>508000</xdr:colOff>
      <xdr:row>23</xdr:row>
      <xdr:rowOff>0</xdr:rowOff>
    </xdr:to>
    <xdr:sp macro="" textlink="">
      <xdr:nvSpPr>
        <xdr:cNvPr id="243" name="Rectangle 242"/>
        <xdr:cNvSpPr/>
      </xdr:nvSpPr>
      <xdr:spPr>
        <a:xfrm>
          <a:off x="7924800" y="2159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13</xdr:col>
      <xdr:colOff>0</xdr:colOff>
      <xdr:row>7</xdr:row>
      <xdr:rowOff>0</xdr:rowOff>
    </xdr:from>
    <xdr:to>
      <xdr:col>13</xdr:col>
      <xdr:colOff>508000</xdr:colOff>
      <xdr:row>12</xdr:row>
      <xdr:rowOff>63500</xdr:rowOff>
    </xdr:to>
    <xdr:sp macro="" textlink="">
      <xdr:nvSpPr>
        <xdr:cNvPr id="244" name="Rectangle 243"/>
        <xdr:cNvSpPr/>
      </xdr:nvSpPr>
      <xdr:spPr>
        <a:xfrm>
          <a:off x="7924800" y="1143000"/>
          <a:ext cx="508000" cy="1016000"/>
        </a:xfrm>
        <a:prstGeom prst="rect">
          <a:avLst/>
        </a:prstGeom>
        <a:solidFill>
          <a:srgbClr xmlns:mc="http://schemas.openxmlformats.org/markup-compatibility/2006" xmlns:a14="http://schemas.microsoft.com/office/drawing/2010/main" val="FFFF00" mc:Ignorable="a14" a14:legacySpreadsheetColorIndex="13">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other </a:t>
          </a:r>
        </a:p>
      </xdr:txBody>
    </xdr:sp>
    <xdr:clientData/>
  </xdr:twoCellAnchor>
  <xdr:twoCellAnchor>
    <xdr:from>
      <xdr:col>13</xdr:col>
      <xdr:colOff>0</xdr:colOff>
      <xdr:row>5</xdr:row>
      <xdr:rowOff>127000</xdr:rowOff>
    </xdr:from>
    <xdr:to>
      <xdr:col>13</xdr:col>
      <xdr:colOff>508000</xdr:colOff>
      <xdr:row>7</xdr:row>
      <xdr:rowOff>0</xdr:rowOff>
    </xdr:to>
    <xdr:sp macro="" textlink="">
      <xdr:nvSpPr>
        <xdr:cNvPr id="245" name="Rectangle 244"/>
        <xdr:cNvSpPr/>
      </xdr:nvSpPr>
      <xdr:spPr>
        <a:xfrm>
          <a:off x="7924800" y="889000"/>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13</xdr:col>
      <xdr:colOff>0</xdr:colOff>
      <xdr:row>4</xdr:row>
      <xdr:rowOff>63500</xdr:rowOff>
    </xdr:from>
    <xdr:to>
      <xdr:col>13</xdr:col>
      <xdr:colOff>508000</xdr:colOff>
      <xdr:row>5</xdr:row>
      <xdr:rowOff>127000</xdr:rowOff>
    </xdr:to>
    <xdr:sp macro="" textlink="">
      <xdr:nvSpPr>
        <xdr:cNvPr id="246" name="Rectangle 245"/>
        <xdr:cNvSpPr/>
      </xdr:nvSpPr>
      <xdr:spPr>
        <a:xfrm>
          <a:off x="7924800" y="635000"/>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13</xdr:col>
      <xdr:colOff>0</xdr:colOff>
      <xdr:row>3</xdr:row>
      <xdr:rowOff>0</xdr:rowOff>
    </xdr:from>
    <xdr:to>
      <xdr:col>13</xdr:col>
      <xdr:colOff>508000</xdr:colOff>
      <xdr:row>4</xdr:row>
      <xdr:rowOff>63500</xdr:rowOff>
    </xdr:to>
    <xdr:sp macro="" textlink="">
      <xdr:nvSpPr>
        <xdr:cNvPr id="247" name="Rectangle 246"/>
        <xdr:cNvSpPr/>
      </xdr:nvSpPr>
      <xdr:spPr>
        <a:xfrm>
          <a:off x="7924800" y="381000"/>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15</xdr:col>
      <xdr:colOff>0</xdr:colOff>
      <xdr:row>21</xdr:row>
      <xdr:rowOff>127000</xdr:rowOff>
    </xdr:from>
    <xdr:to>
      <xdr:col>15</xdr:col>
      <xdr:colOff>508000</xdr:colOff>
      <xdr:row>23</xdr:row>
      <xdr:rowOff>0</xdr:rowOff>
    </xdr:to>
    <xdr:sp macro="" textlink="">
      <xdr:nvSpPr>
        <xdr:cNvPr id="249" name="Rectangle 248"/>
        <xdr:cNvSpPr/>
      </xdr:nvSpPr>
      <xdr:spPr>
        <a:xfrm>
          <a:off x="9144000" y="3937000"/>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15</xdr:col>
      <xdr:colOff>0</xdr:colOff>
      <xdr:row>20</xdr:row>
      <xdr:rowOff>63500</xdr:rowOff>
    </xdr:from>
    <xdr:to>
      <xdr:col>15</xdr:col>
      <xdr:colOff>508000</xdr:colOff>
      <xdr:row>21</xdr:row>
      <xdr:rowOff>127000</xdr:rowOff>
    </xdr:to>
    <xdr:sp macro="" textlink="">
      <xdr:nvSpPr>
        <xdr:cNvPr id="250" name="Rectangle 249"/>
        <xdr:cNvSpPr/>
      </xdr:nvSpPr>
      <xdr:spPr>
        <a:xfrm>
          <a:off x="9144000" y="3683000"/>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15</xdr:col>
      <xdr:colOff>0</xdr:colOff>
      <xdr:row>19</xdr:row>
      <xdr:rowOff>0</xdr:rowOff>
    </xdr:from>
    <xdr:to>
      <xdr:col>15</xdr:col>
      <xdr:colOff>508000</xdr:colOff>
      <xdr:row>20</xdr:row>
      <xdr:rowOff>63500</xdr:rowOff>
    </xdr:to>
    <xdr:sp macro="" textlink="">
      <xdr:nvSpPr>
        <xdr:cNvPr id="251" name="Rectangle 250"/>
        <xdr:cNvSpPr/>
      </xdr:nvSpPr>
      <xdr:spPr>
        <a:xfrm>
          <a:off x="9144000" y="3429000"/>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15</xdr:col>
      <xdr:colOff>0</xdr:colOff>
      <xdr:row>17</xdr:row>
      <xdr:rowOff>127000</xdr:rowOff>
    </xdr:from>
    <xdr:to>
      <xdr:col>15</xdr:col>
      <xdr:colOff>508000</xdr:colOff>
      <xdr:row>19</xdr:row>
      <xdr:rowOff>0</xdr:rowOff>
    </xdr:to>
    <xdr:sp macro="" textlink="">
      <xdr:nvSpPr>
        <xdr:cNvPr id="252" name="Rectangle 251"/>
        <xdr:cNvSpPr/>
      </xdr:nvSpPr>
      <xdr:spPr>
        <a:xfrm>
          <a:off x="9144000" y="3175000"/>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15</xdr:col>
      <xdr:colOff>0</xdr:colOff>
      <xdr:row>16</xdr:row>
      <xdr:rowOff>63500</xdr:rowOff>
    </xdr:from>
    <xdr:to>
      <xdr:col>15</xdr:col>
      <xdr:colOff>508000</xdr:colOff>
      <xdr:row>17</xdr:row>
      <xdr:rowOff>127000</xdr:rowOff>
    </xdr:to>
    <xdr:sp macro="" textlink="">
      <xdr:nvSpPr>
        <xdr:cNvPr id="253" name="Rectangle 252"/>
        <xdr:cNvSpPr/>
      </xdr:nvSpPr>
      <xdr:spPr>
        <a:xfrm>
          <a:off x="9144000" y="2921000"/>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17</xdr:col>
      <xdr:colOff>0</xdr:colOff>
      <xdr:row>17</xdr:row>
      <xdr:rowOff>127000</xdr:rowOff>
    </xdr:from>
    <xdr:to>
      <xdr:col>17</xdr:col>
      <xdr:colOff>508000</xdr:colOff>
      <xdr:row>23</xdr:row>
      <xdr:rowOff>0</xdr:rowOff>
    </xdr:to>
    <xdr:sp macro="" textlink="">
      <xdr:nvSpPr>
        <xdr:cNvPr id="255" name="Rectangle 254"/>
        <xdr:cNvSpPr/>
      </xdr:nvSpPr>
      <xdr:spPr>
        <a:xfrm>
          <a:off x="10363200" y="3175000"/>
          <a:ext cx="508000" cy="1016000"/>
        </a:xfrm>
        <a:prstGeom prst="rect">
          <a:avLst/>
        </a:prstGeom>
        <a:solidFill>
          <a:srgbClr xmlns:mc="http://schemas.openxmlformats.org/markup-compatibility/2006" xmlns:a14="http://schemas.microsoft.com/office/drawing/2010/main" val="FFFF00" mc:Ignorable="a14" a14:legacySpreadsheetColorIndex="13">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other </a:t>
          </a:r>
        </a:p>
      </xdr:txBody>
    </xdr:sp>
    <xdr:clientData/>
  </xdr:twoCellAnchor>
  <xdr:twoCellAnchor>
    <xdr:from>
      <xdr:col>19</xdr:col>
      <xdr:colOff>0</xdr:colOff>
      <xdr:row>17</xdr:row>
      <xdr:rowOff>127000</xdr:rowOff>
    </xdr:from>
    <xdr:to>
      <xdr:col>19</xdr:col>
      <xdr:colOff>508000</xdr:colOff>
      <xdr:row>23</xdr:row>
      <xdr:rowOff>0</xdr:rowOff>
    </xdr:to>
    <xdr:sp macro="" textlink="">
      <xdr:nvSpPr>
        <xdr:cNvPr id="257" name="Rectangle 256"/>
        <xdr:cNvSpPr/>
      </xdr:nvSpPr>
      <xdr:spPr>
        <a:xfrm>
          <a:off x="11582400" y="3175000"/>
          <a:ext cx="508000" cy="1016000"/>
        </a:xfrm>
        <a:prstGeom prst="rect">
          <a:avLst/>
        </a:prstGeom>
        <a:solidFill>
          <a:srgbClr xmlns:mc="http://schemas.openxmlformats.org/markup-compatibility/2006" xmlns:a14="http://schemas.microsoft.com/office/drawing/2010/main" val="FFFF00" mc:Ignorable="a14" a14:legacySpreadsheetColorIndex="13">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other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9525</xdr:colOff>
      <xdr:row>3</xdr:row>
      <xdr:rowOff>63500</xdr:rowOff>
    </xdr:from>
    <xdr:to>
      <xdr:col>17</xdr:col>
      <xdr:colOff>517525</xdr:colOff>
      <xdr:row>10</xdr:row>
      <xdr:rowOff>0</xdr:rowOff>
    </xdr:to>
    <xdr:sp macro="" textlink="">
      <xdr:nvSpPr>
        <xdr:cNvPr id="2" name="Rectangle 1"/>
        <xdr:cNvSpPr/>
      </xdr:nvSpPr>
      <xdr:spPr>
        <a:xfrm>
          <a:off x="10372725" y="635000"/>
          <a:ext cx="508000" cy="127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15</xdr:col>
      <xdr:colOff>0</xdr:colOff>
      <xdr:row>3</xdr:row>
      <xdr:rowOff>63500</xdr:rowOff>
    </xdr:from>
    <xdr:to>
      <xdr:col>15</xdr:col>
      <xdr:colOff>508000</xdr:colOff>
      <xdr:row>10</xdr:row>
      <xdr:rowOff>0</xdr:rowOff>
    </xdr:to>
    <xdr:sp macro="" textlink="">
      <xdr:nvSpPr>
        <xdr:cNvPr id="3" name="Rectangle 2"/>
        <xdr:cNvSpPr/>
      </xdr:nvSpPr>
      <xdr:spPr>
        <a:xfrm>
          <a:off x="9144000" y="635000"/>
          <a:ext cx="508000" cy="127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17</xdr:col>
      <xdr:colOff>0</xdr:colOff>
      <xdr:row>10</xdr:row>
      <xdr:rowOff>79375</xdr:rowOff>
    </xdr:from>
    <xdr:to>
      <xdr:col>17</xdr:col>
      <xdr:colOff>508000</xdr:colOff>
      <xdr:row>15</xdr:row>
      <xdr:rowOff>142875</xdr:rowOff>
    </xdr:to>
    <xdr:sp macro="" textlink="">
      <xdr:nvSpPr>
        <xdr:cNvPr id="4" name="Rectangle 3"/>
        <xdr:cNvSpPr/>
      </xdr:nvSpPr>
      <xdr:spPr>
        <a:xfrm>
          <a:off x="10363200" y="1984375"/>
          <a:ext cx="508000" cy="1016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15</xdr:col>
      <xdr:colOff>0</xdr:colOff>
      <xdr:row>10</xdr:row>
      <xdr:rowOff>69850</xdr:rowOff>
    </xdr:from>
    <xdr:to>
      <xdr:col>15</xdr:col>
      <xdr:colOff>508000</xdr:colOff>
      <xdr:row>15</xdr:row>
      <xdr:rowOff>133350</xdr:rowOff>
    </xdr:to>
    <xdr:sp macro="" textlink="">
      <xdr:nvSpPr>
        <xdr:cNvPr id="5" name="Rectangle 4"/>
        <xdr:cNvSpPr/>
      </xdr:nvSpPr>
      <xdr:spPr>
        <a:xfrm>
          <a:off x="9144000" y="1974850"/>
          <a:ext cx="508000" cy="1016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17</xdr:col>
      <xdr:colOff>0</xdr:colOff>
      <xdr:row>16</xdr:row>
      <xdr:rowOff>0</xdr:rowOff>
    </xdr:from>
    <xdr:to>
      <xdr:col>17</xdr:col>
      <xdr:colOff>508000</xdr:colOff>
      <xdr:row>24</xdr:row>
      <xdr:rowOff>0</xdr:rowOff>
    </xdr:to>
    <xdr:sp macro="" textlink="">
      <xdr:nvSpPr>
        <xdr:cNvPr id="6" name="Rectangle 5"/>
        <xdr:cNvSpPr/>
      </xdr:nvSpPr>
      <xdr:spPr>
        <a:xfrm>
          <a:off x="10363200" y="3048000"/>
          <a:ext cx="508000" cy="1524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15</xdr:col>
      <xdr:colOff>0</xdr:colOff>
      <xdr:row>16</xdr:row>
      <xdr:rowOff>0</xdr:rowOff>
    </xdr:from>
    <xdr:to>
      <xdr:col>15</xdr:col>
      <xdr:colOff>508000</xdr:colOff>
      <xdr:row>24</xdr:row>
      <xdr:rowOff>0</xdr:rowOff>
    </xdr:to>
    <xdr:sp macro="" textlink="">
      <xdr:nvSpPr>
        <xdr:cNvPr id="7" name="Rectangle 6"/>
        <xdr:cNvSpPr/>
      </xdr:nvSpPr>
      <xdr:spPr>
        <a:xfrm>
          <a:off x="9144000" y="3048000"/>
          <a:ext cx="508000" cy="1524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13</xdr:col>
      <xdr:colOff>0</xdr:colOff>
      <xdr:row>4</xdr:row>
      <xdr:rowOff>0</xdr:rowOff>
    </xdr:from>
    <xdr:to>
      <xdr:col>13</xdr:col>
      <xdr:colOff>508000</xdr:colOff>
      <xdr:row>24</xdr:row>
      <xdr:rowOff>0</xdr:rowOff>
    </xdr:to>
    <xdr:sp macro="" textlink="">
      <xdr:nvSpPr>
        <xdr:cNvPr id="8" name="Rectangle 7"/>
        <xdr:cNvSpPr/>
      </xdr:nvSpPr>
      <xdr:spPr>
        <a:xfrm>
          <a:off x="7924800" y="762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11</xdr:col>
      <xdr:colOff>0</xdr:colOff>
      <xdr:row>4</xdr:row>
      <xdr:rowOff>0</xdr:rowOff>
    </xdr:from>
    <xdr:to>
      <xdr:col>11</xdr:col>
      <xdr:colOff>508000</xdr:colOff>
      <xdr:row>24</xdr:row>
      <xdr:rowOff>0</xdr:rowOff>
    </xdr:to>
    <xdr:sp macro="" textlink="">
      <xdr:nvSpPr>
        <xdr:cNvPr id="9" name="Rectangle 8"/>
        <xdr:cNvSpPr/>
      </xdr:nvSpPr>
      <xdr:spPr>
        <a:xfrm>
          <a:off x="6705600" y="762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9</xdr:col>
      <xdr:colOff>0</xdr:colOff>
      <xdr:row>4</xdr:row>
      <xdr:rowOff>0</xdr:rowOff>
    </xdr:from>
    <xdr:to>
      <xdr:col>9</xdr:col>
      <xdr:colOff>508000</xdr:colOff>
      <xdr:row>24</xdr:row>
      <xdr:rowOff>0</xdr:rowOff>
    </xdr:to>
    <xdr:sp macro="" textlink="">
      <xdr:nvSpPr>
        <xdr:cNvPr id="10" name="Rectangle 9"/>
        <xdr:cNvSpPr/>
      </xdr:nvSpPr>
      <xdr:spPr>
        <a:xfrm>
          <a:off x="5486400" y="762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7</xdr:col>
      <xdr:colOff>0</xdr:colOff>
      <xdr:row>4</xdr:row>
      <xdr:rowOff>0</xdr:rowOff>
    </xdr:from>
    <xdr:to>
      <xdr:col>7</xdr:col>
      <xdr:colOff>508000</xdr:colOff>
      <xdr:row>24</xdr:row>
      <xdr:rowOff>0</xdr:rowOff>
    </xdr:to>
    <xdr:sp macro="" textlink="">
      <xdr:nvSpPr>
        <xdr:cNvPr id="11" name="Rectangle 10"/>
        <xdr:cNvSpPr/>
      </xdr:nvSpPr>
      <xdr:spPr>
        <a:xfrm>
          <a:off x="4267200" y="762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5</xdr:col>
      <xdr:colOff>0</xdr:colOff>
      <xdr:row>4</xdr:row>
      <xdr:rowOff>0</xdr:rowOff>
    </xdr:from>
    <xdr:to>
      <xdr:col>5</xdr:col>
      <xdr:colOff>508000</xdr:colOff>
      <xdr:row>24</xdr:row>
      <xdr:rowOff>0</xdr:rowOff>
    </xdr:to>
    <xdr:sp macro="" textlink="">
      <xdr:nvSpPr>
        <xdr:cNvPr id="12" name="Rectangle 11"/>
        <xdr:cNvSpPr/>
      </xdr:nvSpPr>
      <xdr:spPr>
        <a:xfrm>
          <a:off x="3048000" y="762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3</xdr:col>
      <xdr:colOff>0</xdr:colOff>
      <xdr:row>4</xdr:row>
      <xdr:rowOff>0</xdr:rowOff>
    </xdr:from>
    <xdr:to>
      <xdr:col>3</xdr:col>
      <xdr:colOff>508000</xdr:colOff>
      <xdr:row>24</xdr:row>
      <xdr:rowOff>0</xdr:rowOff>
    </xdr:to>
    <xdr:sp macro="" textlink="">
      <xdr:nvSpPr>
        <xdr:cNvPr id="13" name="Rectangle 12"/>
        <xdr:cNvSpPr/>
      </xdr:nvSpPr>
      <xdr:spPr>
        <a:xfrm>
          <a:off x="1828800" y="762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xdr:col>
      <xdr:colOff>0</xdr:colOff>
      <xdr:row>4</xdr:row>
      <xdr:rowOff>0</xdr:rowOff>
    </xdr:from>
    <xdr:to>
      <xdr:col>1</xdr:col>
      <xdr:colOff>508000</xdr:colOff>
      <xdr:row>24</xdr:row>
      <xdr:rowOff>0</xdr:rowOff>
    </xdr:to>
    <xdr:sp macro="" textlink="">
      <xdr:nvSpPr>
        <xdr:cNvPr id="14" name="Rectangle 13"/>
        <xdr:cNvSpPr/>
      </xdr:nvSpPr>
      <xdr:spPr>
        <a:xfrm>
          <a:off x="609600" y="762000"/>
          <a:ext cx="508000" cy="3810000"/>
        </a:xfrm>
        <a:prstGeom prst="rect">
          <a:avLst/>
        </a:prstGeom>
        <a:solidFill>
          <a:srgbClr xmlns:mc="http://schemas.openxmlformats.org/markup-compatibility/2006" xmlns:a14="http://schemas.microsoft.com/office/drawing/2010/main" val="008000" mc:Ignorable="a14" a14:legacySpreadsheetColorIndex="17"/>
        </a:solidFill>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CA" sz="1100"/>
        </a:p>
      </xdr:txBody>
    </xdr:sp>
    <xdr:clientData/>
  </xdr:twoCellAnchor>
  <xdr:twoCellAnchor>
    <xdr:from>
      <xdr:col>1</xdr:col>
      <xdr:colOff>0</xdr:colOff>
      <xdr:row>13</xdr:row>
      <xdr:rowOff>63500</xdr:rowOff>
    </xdr:from>
    <xdr:to>
      <xdr:col>1</xdr:col>
      <xdr:colOff>508000</xdr:colOff>
      <xdr:row>24</xdr:row>
      <xdr:rowOff>0</xdr:rowOff>
    </xdr:to>
    <xdr:sp macro="" textlink="">
      <xdr:nvSpPr>
        <xdr:cNvPr id="15" name="Rectangle 14"/>
        <xdr:cNvSpPr/>
      </xdr:nvSpPr>
      <xdr:spPr>
        <a:xfrm>
          <a:off x="609600" y="2540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1</xdr:col>
      <xdr:colOff>0</xdr:colOff>
      <xdr:row>4</xdr:row>
      <xdr:rowOff>0</xdr:rowOff>
    </xdr:from>
    <xdr:to>
      <xdr:col>1</xdr:col>
      <xdr:colOff>508000</xdr:colOff>
      <xdr:row>13</xdr:row>
      <xdr:rowOff>63500</xdr:rowOff>
    </xdr:to>
    <xdr:sp macro="" textlink="">
      <xdr:nvSpPr>
        <xdr:cNvPr id="16" name="Rectangle 15"/>
        <xdr:cNvSpPr/>
      </xdr:nvSpPr>
      <xdr:spPr>
        <a:xfrm>
          <a:off x="609600" y="762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3</xdr:col>
      <xdr:colOff>0</xdr:colOff>
      <xdr:row>13</xdr:row>
      <xdr:rowOff>63500</xdr:rowOff>
    </xdr:from>
    <xdr:to>
      <xdr:col>3</xdr:col>
      <xdr:colOff>508000</xdr:colOff>
      <xdr:row>24</xdr:row>
      <xdr:rowOff>0</xdr:rowOff>
    </xdr:to>
    <xdr:sp macro="" textlink="">
      <xdr:nvSpPr>
        <xdr:cNvPr id="17" name="Rectangle 16"/>
        <xdr:cNvSpPr/>
      </xdr:nvSpPr>
      <xdr:spPr>
        <a:xfrm>
          <a:off x="1828800" y="2540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3</xdr:col>
      <xdr:colOff>0</xdr:colOff>
      <xdr:row>4</xdr:row>
      <xdr:rowOff>0</xdr:rowOff>
    </xdr:from>
    <xdr:to>
      <xdr:col>3</xdr:col>
      <xdr:colOff>508000</xdr:colOff>
      <xdr:row>13</xdr:row>
      <xdr:rowOff>63500</xdr:rowOff>
    </xdr:to>
    <xdr:sp macro="" textlink="">
      <xdr:nvSpPr>
        <xdr:cNvPr id="18" name="Rectangle 17"/>
        <xdr:cNvSpPr/>
      </xdr:nvSpPr>
      <xdr:spPr>
        <a:xfrm>
          <a:off x="1828800" y="762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5</xdr:col>
      <xdr:colOff>0</xdr:colOff>
      <xdr:row>14</xdr:row>
      <xdr:rowOff>127000</xdr:rowOff>
    </xdr:from>
    <xdr:to>
      <xdr:col>5</xdr:col>
      <xdr:colOff>508000</xdr:colOff>
      <xdr:row>24</xdr:row>
      <xdr:rowOff>0</xdr:rowOff>
    </xdr:to>
    <xdr:sp macro="" textlink="">
      <xdr:nvSpPr>
        <xdr:cNvPr id="19" name="Rectangle 18"/>
        <xdr:cNvSpPr/>
      </xdr:nvSpPr>
      <xdr:spPr>
        <a:xfrm>
          <a:off x="3048000" y="2794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5</xdr:col>
      <xdr:colOff>0</xdr:colOff>
      <xdr:row>4</xdr:row>
      <xdr:rowOff>0</xdr:rowOff>
    </xdr:from>
    <xdr:to>
      <xdr:col>5</xdr:col>
      <xdr:colOff>508000</xdr:colOff>
      <xdr:row>14</xdr:row>
      <xdr:rowOff>127000</xdr:rowOff>
    </xdr:to>
    <xdr:sp macro="" textlink="">
      <xdr:nvSpPr>
        <xdr:cNvPr id="20" name="Rectangle 19"/>
        <xdr:cNvSpPr/>
      </xdr:nvSpPr>
      <xdr:spPr>
        <a:xfrm>
          <a:off x="3048000" y="762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7</xdr:col>
      <xdr:colOff>0</xdr:colOff>
      <xdr:row>13</xdr:row>
      <xdr:rowOff>63500</xdr:rowOff>
    </xdr:from>
    <xdr:to>
      <xdr:col>7</xdr:col>
      <xdr:colOff>508000</xdr:colOff>
      <xdr:row>24</xdr:row>
      <xdr:rowOff>0</xdr:rowOff>
    </xdr:to>
    <xdr:sp macro="" textlink="">
      <xdr:nvSpPr>
        <xdr:cNvPr id="21" name="Rectangle 20"/>
        <xdr:cNvSpPr/>
      </xdr:nvSpPr>
      <xdr:spPr>
        <a:xfrm>
          <a:off x="4267200" y="2540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7</xdr:col>
      <xdr:colOff>0</xdr:colOff>
      <xdr:row>4</xdr:row>
      <xdr:rowOff>0</xdr:rowOff>
    </xdr:from>
    <xdr:to>
      <xdr:col>7</xdr:col>
      <xdr:colOff>508000</xdr:colOff>
      <xdr:row>13</xdr:row>
      <xdr:rowOff>63500</xdr:rowOff>
    </xdr:to>
    <xdr:sp macro="" textlink="">
      <xdr:nvSpPr>
        <xdr:cNvPr id="22" name="Rectangle 21"/>
        <xdr:cNvSpPr/>
      </xdr:nvSpPr>
      <xdr:spPr>
        <a:xfrm>
          <a:off x="4267200" y="762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9</xdr:col>
      <xdr:colOff>0</xdr:colOff>
      <xdr:row>13</xdr:row>
      <xdr:rowOff>63500</xdr:rowOff>
    </xdr:from>
    <xdr:to>
      <xdr:col>9</xdr:col>
      <xdr:colOff>508000</xdr:colOff>
      <xdr:row>24</xdr:row>
      <xdr:rowOff>0</xdr:rowOff>
    </xdr:to>
    <xdr:sp macro="" textlink="">
      <xdr:nvSpPr>
        <xdr:cNvPr id="23" name="Rectangle 22"/>
        <xdr:cNvSpPr/>
      </xdr:nvSpPr>
      <xdr:spPr>
        <a:xfrm>
          <a:off x="5486400" y="2540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9</xdr:col>
      <xdr:colOff>0</xdr:colOff>
      <xdr:row>4</xdr:row>
      <xdr:rowOff>0</xdr:rowOff>
    </xdr:from>
    <xdr:to>
      <xdr:col>9</xdr:col>
      <xdr:colOff>508000</xdr:colOff>
      <xdr:row>13</xdr:row>
      <xdr:rowOff>63500</xdr:rowOff>
    </xdr:to>
    <xdr:sp macro="" textlink="">
      <xdr:nvSpPr>
        <xdr:cNvPr id="24" name="Rectangle 23"/>
        <xdr:cNvSpPr/>
      </xdr:nvSpPr>
      <xdr:spPr>
        <a:xfrm>
          <a:off x="5486400" y="762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11</xdr:col>
      <xdr:colOff>0</xdr:colOff>
      <xdr:row>13</xdr:row>
      <xdr:rowOff>63500</xdr:rowOff>
    </xdr:from>
    <xdr:to>
      <xdr:col>11</xdr:col>
      <xdr:colOff>508000</xdr:colOff>
      <xdr:row>24</xdr:row>
      <xdr:rowOff>0</xdr:rowOff>
    </xdr:to>
    <xdr:sp macro="" textlink="">
      <xdr:nvSpPr>
        <xdr:cNvPr id="25" name="Rectangle 24"/>
        <xdr:cNvSpPr/>
      </xdr:nvSpPr>
      <xdr:spPr>
        <a:xfrm>
          <a:off x="6705600" y="2540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11</xdr:col>
      <xdr:colOff>0</xdr:colOff>
      <xdr:row>4</xdr:row>
      <xdr:rowOff>0</xdr:rowOff>
    </xdr:from>
    <xdr:to>
      <xdr:col>11</xdr:col>
      <xdr:colOff>508000</xdr:colOff>
      <xdr:row>13</xdr:row>
      <xdr:rowOff>63500</xdr:rowOff>
    </xdr:to>
    <xdr:sp macro="" textlink="">
      <xdr:nvSpPr>
        <xdr:cNvPr id="26" name="Rectangle 25"/>
        <xdr:cNvSpPr/>
      </xdr:nvSpPr>
      <xdr:spPr>
        <a:xfrm>
          <a:off x="6705600" y="762000"/>
          <a:ext cx="508000" cy="1778000"/>
        </a:xfrm>
        <a:prstGeom prst="rect">
          <a:avLst/>
        </a:prstGeom>
        <a:solidFill>
          <a:srgbClr xmlns:mc="http://schemas.openxmlformats.org/markup-compatibility/2006" xmlns:a14="http://schemas.microsoft.com/office/drawing/2010/main" val="00FF00" mc:Ignorable="a14" a14:legacySpreadsheetColorIndex="11">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Iron</a:t>
          </a:r>
        </a:p>
      </xdr:txBody>
    </xdr:sp>
    <xdr:clientData/>
  </xdr:twoCellAnchor>
  <xdr:twoCellAnchor>
    <xdr:from>
      <xdr:col>13</xdr:col>
      <xdr:colOff>0</xdr:colOff>
      <xdr:row>13</xdr:row>
      <xdr:rowOff>63500</xdr:rowOff>
    </xdr:from>
    <xdr:to>
      <xdr:col>13</xdr:col>
      <xdr:colOff>508000</xdr:colOff>
      <xdr:row>24</xdr:row>
      <xdr:rowOff>0</xdr:rowOff>
    </xdr:to>
    <xdr:sp macro="" textlink="">
      <xdr:nvSpPr>
        <xdr:cNvPr id="27" name="Rectangle 26"/>
        <xdr:cNvSpPr/>
      </xdr:nvSpPr>
      <xdr:spPr>
        <a:xfrm>
          <a:off x="7924800" y="2540000"/>
          <a:ext cx="508000" cy="2032000"/>
        </a:xfrm>
        <a:prstGeom prst="rect">
          <a:avLst/>
        </a:prstGeom>
        <a:solidFill>
          <a:srgbClr xmlns:mc="http://schemas.openxmlformats.org/markup-compatibility/2006" xmlns:a14="http://schemas.microsoft.com/office/drawing/2010/main" val="0000FF" mc:Ignorable="a14" a14:legacySpreadsheetColorIndex="12">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rbci</a:t>
          </a:r>
        </a:p>
      </xdr:txBody>
    </xdr:sp>
    <xdr:clientData/>
  </xdr:twoCellAnchor>
  <xdr:twoCellAnchor>
    <xdr:from>
      <xdr:col>13</xdr:col>
      <xdr:colOff>0</xdr:colOff>
      <xdr:row>8</xdr:row>
      <xdr:rowOff>0</xdr:rowOff>
    </xdr:from>
    <xdr:to>
      <xdr:col>13</xdr:col>
      <xdr:colOff>508000</xdr:colOff>
      <xdr:row>13</xdr:row>
      <xdr:rowOff>63500</xdr:rowOff>
    </xdr:to>
    <xdr:sp macro="" textlink="">
      <xdr:nvSpPr>
        <xdr:cNvPr id="28" name="Rectangle 27"/>
        <xdr:cNvSpPr/>
      </xdr:nvSpPr>
      <xdr:spPr>
        <a:xfrm>
          <a:off x="7924800" y="1524000"/>
          <a:ext cx="508000" cy="1016000"/>
        </a:xfrm>
        <a:prstGeom prst="rect">
          <a:avLst/>
        </a:prstGeom>
        <a:solidFill>
          <a:srgbClr xmlns:mc="http://schemas.openxmlformats.org/markup-compatibility/2006" xmlns:a14="http://schemas.microsoft.com/office/drawing/2010/main" val="FFFF00" mc:Ignorable="a14" a14:legacySpreadsheetColorIndex="13">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other </a:t>
          </a:r>
        </a:p>
      </xdr:txBody>
    </xdr:sp>
    <xdr:clientData/>
  </xdr:twoCellAnchor>
  <xdr:twoCellAnchor>
    <xdr:from>
      <xdr:col>15</xdr:col>
      <xdr:colOff>9525</xdr:colOff>
      <xdr:row>12</xdr:row>
      <xdr:rowOff>165100</xdr:rowOff>
    </xdr:from>
    <xdr:to>
      <xdr:col>15</xdr:col>
      <xdr:colOff>517525</xdr:colOff>
      <xdr:row>14</xdr:row>
      <xdr:rowOff>38100</xdr:rowOff>
    </xdr:to>
    <xdr:sp macro="" textlink="">
      <xdr:nvSpPr>
        <xdr:cNvPr id="29" name="Rectangle 28"/>
        <xdr:cNvSpPr/>
      </xdr:nvSpPr>
      <xdr:spPr>
        <a:xfrm>
          <a:off x="9153525" y="2451100"/>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15</xdr:col>
      <xdr:colOff>9525</xdr:colOff>
      <xdr:row>11</xdr:row>
      <xdr:rowOff>130175</xdr:rowOff>
    </xdr:from>
    <xdr:to>
      <xdr:col>15</xdr:col>
      <xdr:colOff>517525</xdr:colOff>
      <xdr:row>13</xdr:row>
      <xdr:rowOff>3175</xdr:rowOff>
    </xdr:to>
    <xdr:sp macro="" textlink="">
      <xdr:nvSpPr>
        <xdr:cNvPr id="30" name="Rectangle 29"/>
        <xdr:cNvSpPr/>
      </xdr:nvSpPr>
      <xdr:spPr>
        <a:xfrm>
          <a:off x="9153525" y="2225675"/>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15</xdr:col>
      <xdr:colOff>9525</xdr:colOff>
      <xdr:row>10</xdr:row>
      <xdr:rowOff>66675</xdr:rowOff>
    </xdr:from>
    <xdr:to>
      <xdr:col>15</xdr:col>
      <xdr:colOff>517525</xdr:colOff>
      <xdr:row>11</xdr:row>
      <xdr:rowOff>130175</xdr:rowOff>
    </xdr:to>
    <xdr:sp macro="" textlink="">
      <xdr:nvSpPr>
        <xdr:cNvPr id="31" name="Rectangle 30"/>
        <xdr:cNvSpPr/>
      </xdr:nvSpPr>
      <xdr:spPr>
        <a:xfrm>
          <a:off x="9153525" y="1971675"/>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17</xdr:col>
      <xdr:colOff>9525</xdr:colOff>
      <xdr:row>10</xdr:row>
      <xdr:rowOff>69850</xdr:rowOff>
    </xdr:from>
    <xdr:to>
      <xdr:col>17</xdr:col>
      <xdr:colOff>517525</xdr:colOff>
      <xdr:row>15</xdr:row>
      <xdr:rowOff>133350</xdr:rowOff>
    </xdr:to>
    <xdr:grpSp>
      <xdr:nvGrpSpPr>
        <xdr:cNvPr id="32" name="Group 31"/>
        <xdr:cNvGrpSpPr/>
      </xdr:nvGrpSpPr>
      <xdr:grpSpPr>
        <a:xfrm>
          <a:off x="10372725" y="1974850"/>
          <a:ext cx="508000" cy="1016000"/>
          <a:chOff x="11220450" y="784225"/>
          <a:chExt cx="508000" cy="1016000"/>
        </a:xfrm>
      </xdr:grpSpPr>
      <xdr:sp macro="" textlink="">
        <xdr:nvSpPr>
          <xdr:cNvPr id="33" name="Rectangle 32"/>
          <xdr:cNvSpPr/>
        </xdr:nvSpPr>
        <xdr:spPr>
          <a:xfrm>
            <a:off x="11220450" y="1546225"/>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sp macro="" textlink="">
        <xdr:nvSpPr>
          <xdr:cNvPr id="34" name="Rectangle 33"/>
          <xdr:cNvSpPr/>
        </xdr:nvSpPr>
        <xdr:spPr>
          <a:xfrm>
            <a:off x="11220450" y="1292225"/>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sp macro="" textlink="">
        <xdr:nvSpPr>
          <xdr:cNvPr id="35" name="Rectangle 34"/>
          <xdr:cNvSpPr/>
        </xdr:nvSpPr>
        <xdr:spPr>
          <a:xfrm>
            <a:off x="11220450" y="1038225"/>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sp macro="" textlink="">
        <xdr:nvSpPr>
          <xdr:cNvPr id="36" name="Rectangle 35"/>
          <xdr:cNvSpPr/>
        </xdr:nvSpPr>
        <xdr:spPr>
          <a:xfrm>
            <a:off x="11220450" y="784225"/>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grpSp>
    <xdr:clientData/>
  </xdr:twoCellAnchor>
  <xdr:twoCellAnchor>
    <xdr:from>
      <xdr:col>15</xdr:col>
      <xdr:colOff>0</xdr:colOff>
      <xdr:row>14</xdr:row>
      <xdr:rowOff>44450</xdr:rowOff>
    </xdr:from>
    <xdr:to>
      <xdr:col>15</xdr:col>
      <xdr:colOff>508000</xdr:colOff>
      <xdr:row>15</xdr:row>
      <xdr:rowOff>107950</xdr:rowOff>
    </xdr:to>
    <xdr:sp macro="" textlink="">
      <xdr:nvSpPr>
        <xdr:cNvPr id="37" name="Rectangle 36"/>
        <xdr:cNvSpPr/>
      </xdr:nvSpPr>
      <xdr:spPr>
        <a:xfrm>
          <a:off x="9144000" y="2711450"/>
          <a:ext cx="508000" cy="254000"/>
        </a:xfrm>
        <a:prstGeom prst="rect">
          <a:avLst/>
        </a:prstGeom>
        <a:solidFill>
          <a:srgbClr xmlns:mc="http://schemas.openxmlformats.org/markup-compatibility/2006" xmlns:a14="http://schemas.microsoft.com/office/drawing/2010/main" val="FF00FF" mc:Ignorable="a14" a14:legacySpreadsheetColorIndex="14">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opat </a:t>
          </a:r>
        </a:p>
      </xdr:txBody>
    </xdr:sp>
    <xdr:clientData/>
  </xdr:twoCellAnchor>
  <xdr:twoCellAnchor>
    <xdr:from>
      <xdr:col>17</xdr:col>
      <xdr:colOff>0</xdr:colOff>
      <xdr:row>18</xdr:row>
      <xdr:rowOff>127000</xdr:rowOff>
    </xdr:from>
    <xdr:to>
      <xdr:col>17</xdr:col>
      <xdr:colOff>508000</xdr:colOff>
      <xdr:row>24</xdr:row>
      <xdr:rowOff>0</xdr:rowOff>
    </xdr:to>
    <xdr:sp macro="" textlink="">
      <xdr:nvSpPr>
        <xdr:cNvPr id="38" name="Rectangle 37"/>
        <xdr:cNvSpPr/>
      </xdr:nvSpPr>
      <xdr:spPr>
        <a:xfrm>
          <a:off x="10363200" y="3556000"/>
          <a:ext cx="508000" cy="1016000"/>
        </a:xfrm>
        <a:prstGeom prst="rect">
          <a:avLst/>
        </a:prstGeom>
        <a:solidFill>
          <a:srgbClr xmlns:mc="http://schemas.openxmlformats.org/markup-compatibility/2006" xmlns:a14="http://schemas.microsoft.com/office/drawing/2010/main" val="FFFF00" mc:Ignorable="a14" a14:legacySpreadsheetColorIndex="13">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other </a:t>
          </a:r>
        </a:p>
      </xdr:txBody>
    </xdr:sp>
    <xdr:clientData/>
  </xdr:twoCellAnchor>
  <xdr:twoCellAnchor>
    <xdr:from>
      <xdr:col>15</xdr:col>
      <xdr:colOff>0</xdr:colOff>
      <xdr:row>18</xdr:row>
      <xdr:rowOff>98425</xdr:rowOff>
    </xdr:from>
    <xdr:to>
      <xdr:col>15</xdr:col>
      <xdr:colOff>508000</xdr:colOff>
      <xdr:row>23</xdr:row>
      <xdr:rowOff>161925</xdr:rowOff>
    </xdr:to>
    <xdr:sp macro="" textlink="">
      <xdr:nvSpPr>
        <xdr:cNvPr id="39" name="Rectangle 38"/>
        <xdr:cNvSpPr/>
      </xdr:nvSpPr>
      <xdr:spPr>
        <a:xfrm>
          <a:off x="9144000" y="3527425"/>
          <a:ext cx="508000" cy="1016000"/>
        </a:xfrm>
        <a:prstGeom prst="rect">
          <a:avLst/>
        </a:prstGeom>
        <a:solidFill>
          <a:srgbClr xmlns:mc="http://schemas.openxmlformats.org/markup-compatibility/2006" xmlns:a14="http://schemas.microsoft.com/office/drawing/2010/main" val="FFFF00" mc:Ignorable="a14" a14:legacySpreadsheetColorIndex="13">
            <a:alpha val="70000"/>
          </a:srgb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other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5"/>
  <sheetViews>
    <sheetView zoomScaleNormal="100" workbookViewId="0">
      <selection activeCell="B29" sqref="B29"/>
    </sheetView>
  </sheetViews>
  <sheetFormatPr defaultRowHeight="15" x14ac:dyDescent="0.25"/>
  <cols>
    <col min="1" max="1" width="22.28515625" bestFit="1" customWidth="1"/>
    <col min="2" max="2" width="45.5703125" bestFit="1" customWidth="1"/>
    <col min="3" max="3" width="15.7109375" customWidth="1"/>
    <col min="4" max="4" width="43.85546875" bestFit="1" customWidth="1"/>
  </cols>
  <sheetData>
    <row r="1" spans="1:4" s="3" customFormat="1" x14ac:dyDescent="0.25">
      <c r="A1" s="6" t="s">
        <v>0</v>
      </c>
      <c r="B1" s="6" t="s">
        <v>23</v>
      </c>
      <c r="C1" s="6" t="s">
        <v>1</v>
      </c>
      <c r="D1" s="6" t="s">
        <v>2</v>
      </c>
    </row>
    <row r="2" spans="1:4" x14ac:dyDescent="0.25">
      <c r="A2" s="4" t="s">
        <v>5</v>
      </c>
      <c r="B2" s="1" t="s">
        <v>6</v>
      </c>
      <c r="C2" s="5">
        <v>4</v>
      </c>
      <c r="D2" s="1" t="s">
        <v>18</v>
      </c>
    </row>
    <row r="4" spans="1:4" x14ac:dyDescent="0.25">
      <c r="A4" s="7" t="s">
        <v>7</v>
      </c>
      <c r="B4" s="2" t="s">
        <v>8</v>
      </c>
      <c r="C4" s="8">
        <v>4</v>
      </c>
      <c r="D4" s="2" t="s">
        <v>16</v>
      </c>
    </row>
    <row r="6" spans="1:4" x14ac:dyDescent="0.25">
      <c r="A6" s="7" t="s">
        <v>9</v>
      </c>
      <c r="B6" s="2" t="s">
        <v>17</v>
      </c>
      <c r="C6" s="8" t="s">
        <v>3</v>
      </c>
      <c r="D6" s="2"/>
    </row>
    <row r="8" spans="1:4" x14ac:dyDescent="0.25">
      <c r="A8" s="7" t="s">
        <v>10</v>
      </c>
      <c r="B8" s="2" t="s">
        <v>11</v>
      </c>
      <c r="C8" s="8" t="s">
        <v>3</v>
      </c>
      <c r="D8" s="2"/>
    </row>
    <row r="9" spans="1:4" x14ac:dyDescent="0.25">
      <c r="A9" s="1"/>
      <c r="B9" s="1" t="s">
        <v>12</v>
      </c>
      <c r="C9" s="5" t="s">
        <v>15</v>
      </c>
      <c r="D9" s="1"/>
    </row>
    <row r="10" spans="1:4" x14ac:dyDescent="0.25">
      <c r="A10" s="1"/>
      <c r="B10" s="1" t="s">
        <v>25</v>
      </c>
      <c r="C10" s="5" t="s">
        <v>24</v>
      </c>
      <c r="D10" s="1"/>
    </row>
    <row r="12" spans="1:4" x14ac:dyDescent="0.25">
      <c r="A12" s="7" t="s">
        <v>13</v>
      </c>
      <c r="B12" s="2" t="s">
        <v>22</v>
      </c>
      <c r="C12" s="8" t="s">
        <v>27</v>
      </c>
      <c r="D12" s="2"/>
    </row>
    <row r="13" spans="1:4" x14ac:dyDescent="0.25">
      <c r="A13" s="1"/>
      <c r="B13" s="1" t="s">
        <v>19</v>
      </c>
      <c r="C13" s="5" t="s">
        <v>3</v>
      </c>
      <c r="D13" s="1"/>
    </row>
    <row r="14" spans="1:4" x14ac:dyDescent="0.25">
      <c r="A14" s="1"/>
      <c r="B14" s="1" t="s">
        <v>20</v>
      </c>
      <c r="C14" s="5" t="s">
        <v>15</v>
      </c>
      <c r="D14" s="1" t="s">
        <v>21</v>
      </c>
    </row>
    <row r="15" spans="1:4" x14ac:dyDescent="0.25">
      <c r="A15" s="1"/>
      <c r="B15" s="1" t="s">
        <v>4</v>
      </c>
      <c r="C15" s="5">
        <v>60</v>
      </c>
      <c r="D15" s="1" t="s">
        <v>26</v>
      </c>
    </row>
  </sheetData>
  <dataValidations count="6">
    <dataValidation type="list" allowBlank="1" showInputMessage="1" showErrorMessage="1" sqref="C8 C9 C13 C6 C14">
      <formula1>"Yes, No"</formula1>
    </dataValidation>
    <dataValidation type="list" allowBlank="1" showInputMessage="1" showErrorMessage="1" sqref="C12">
      <formula1>"Area, Circumference, Height, Width"</formula1>
    </dataValidation>
    <dataValidation type="whole" allowBlank="1" showInputMessage="1" showErrorMessage="1" error="Please enter an integer from 1 to 100" sqref="C2">
      <formula1>1</formula1>
      <formula2>100</formula2>
    </dataValidation>
    <dataValidation type="whole" allowBlank="1" showInputMessage="1" showErrorMessage="1" error="Please enter an integer from 1 to 10" sqref="C4">
      <formula1>1</formula1>
      <formula2>10</formula2>
    </dataValidation>
    <dataValidation type="list" allowBlank="1" showInputMessage="1" showErrorMessage="1" sqref="C10">
      <formula1>"Automatic, None"</formula1>
    </dataValidation>
    <dataValidation type="decimal" operator="greaterThanOrEqual" allowBlank="1" showInputMessage="1" showErrorMessage="1" error="Please enter a value greater than or equal to 10 seconds." sqref="C15">
      <formula1>10</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8"/>
  <sheetViews>
    <sheetView workbookViewId="0">
      <selection activeCell="H13" sqref="H13"/>
    </sheetView>
  </sheetViews>
  <sheetFormatPr defaultRowHeight="15" x14ac:dyDescent="0.25"/>
  <cols>
    <col min="1" max="1" width="12.140625" bestFit="1" customWidth="1"/>
    <col min="2" max="2" width="11" bestFit="1" customWidth="1"/>
    <col min="3" max="3" width="15.42578125" bestFit="1" customWidth="1"/>
    <col min="4" max="4" width="9.42578125" bestFit="1" customWidth="1"/>
    <col min="5" max="5" width="9.7109375" bestFit="1" customWidth="1"/>
    <col min="6" max="6" width="9" bestFit="1" customWidth="1"/>
    <col min="7" max="7" width="15.140625" bestFit="1" customWidth="1"/>
    <col min="8" max="8" width="16.140625" bestFit="1" customWidth="1"/>
    <col min="9" max="9" width="6" bestFit="1" customWidth="1"/>
    <col min="10" max="10" width="16.140625" bestFit="1" customWidth="1"/>
  </cols>
  <sheetData>
    <row r="1" spans="1:10" x14ac:dyDescent="0.25">
      <c r="A1" s="9" t="s">
        <v>28</v>
      </c>
      <c r="B1" s="9" t="s">
        <v>29</v>
      </c>
      <c r="C1" s="9" t="s">
        <v>30</v>
      </c>
      <c r="D1" s="9" t="s">
        <v>31</v>
      </c>
      <c r="E1" s="9" t="s">
        <v>32</v>
      </c>
      <c r="F1" s="9" t="s">
        <v>33</v>
      </c>
      <c r="G1" s="9" t="s">
        <v>34</v>
      </c>
      <c r="H1" s="9" t="s">
        <v>35</v>
      </c>
      <c r="I1" s="9" t="s">
        <v>36</v>
      </c>
      <c r="J1" s="9" t="s">
        <v>37</v>
      </c>
    </row>
    <row r="2" spans="1:10" x14ac:dyDescent="0.25">
      <c r="A2" s="12">
        <v>1</v>
      </c>
      <c r="B2" s="13" t="s">
        <v>57</v>
      </c>
      <c r="C2" s="13"/>
      <c r="D2" s="14">
        <v>1</v>
      </c>
      <c r="E2" s="14">
        <v>3.5</v>
      </c>
      <c r="F2" s="15">
        <f>D2*E2</f>
        <v>3.5</v>
      </c>
      <c r="G2" s="13" t="s">
        <v>15</v>
      </c>
      <c r="H2" s="13" t="s">
        <v>38</v>
      </c>
      <c r="I2" s="14">
        <v>0</v>
      </c>
      <c r="J2" s="13">
        <v>6</v>
      </c>
    </row>
    <row r="3" spans="1:10" x14ac:dyDescent="0.25">
      <c r="A3" s="12">
        <v>2</v>
      </c>
      <c r="B3" s="34" t="s">
        <v>58</v>
      </c>
      <c r="C3" s="34"/>
      <c r="D3" s="35">
        <v>1</v>
      </c>
      <c r="E3" s="35">
        <v>4</v>
      </c>
      <c r="F3" s="15">
        <f>D3*E3</f>
        <v>4</v>
      </c>
      <c r="G3" s="13" t="s">
        <v>15</v>
      </c>
      <c r="H3" s="34" t="s">
        <v>38</v>
      </c>
      <c r="I3" s="35">
        <v>0</v>
      </c>
      <c r="J3" s="34">
        <v>7</v>
      </c>
    </row>
    <row r="4" spans="1:10" x14ac:dyDescent="0.25">
      <c r="A4" s="12">
        <v>3</v>
      </c>
      <c r="B4" s="13" t="s">
        <v>59</v>
      </c>
      <c r="C4" s="13"/>
      <c r="D4" s="14">
        <v>1</v>
      </c>
      <c r="E4" s="14">
        <v>2</v>
      </c>
      <c r="F4" s="15">
        <f>D4*E4</f>
        <v>2</v>
      </c>
      <c r="G4" s="13" t="s">
        <v>15</v>
      </c>
      <c r="H4" s="13" t="s">
        <v>38</v>
      </c>
      <c r="I4" s="14">
        <v>0</v>
      </c>
      <c r="J4" s="13">
        <v>3</v>
      </c>
    </row>
    <row r="5" spans="1:10" x14ac:dyDescent="0.25">
      <c r="A5" s="10">
        <v>4</v>
      </c>
      <c r="B5" s="16" t="s">
        <v>60</v>
      </c>
      <c r="C5" s="16"/>
      <c r="D5" s="17">
        <v>1</v>
      </c>
      <c r="E5" s="17">
        <v>0.5</v>
      </c>
      <c r="F5" s="11">
        <f>D5*E5</f>
        <v>0.5</v>
      </c>
      <c r="G5" s="13" t="s">
        <v>15</v>
      </c>
      <c r="H5" s="16" t="s">
        <v>38</v>
      </c>
      <c r="I5" s="17">
        <v>0</v>
      </c>
      <c r="J5" s="16">
        <v>8</v>
      </c>
    </row>
    <row r="8" spans="1:10" x14ac:dyDescent="0.25">
      <c r="F8">
        <f>SUMPRODUCT(F2:F5, J2:J5)</f>
        <v>59</v>
      </c>
    </row>
  </sheetData>
  <conditionalFormatting sqref="A2">
    <cfRule type="expression" dxfId="480" priority="16" stopIfTrue="1">
      <formula>ISBLANK($A$2)</formula>
    </cfRule>
  </conditionalFormatting>
  <conditionalFormatting sqref="B2">
    <cfRule type="expression" dxfId="479" priority="2" stopIfTrue="1">
      <formula>ISBLANK($B$2)</formula>
    </cfRule>
  </conditionalFormatting>
  <conditionalFormatting sqref="G2">
    <cfRule type="cellIs" dxfId="478" priority="3" stopIfTrue="1" operator="equal">
      <formula>"No"</formula>
    </cfRule>
  </conditionalFormatting>
  <conditionalFormatting sqref="H2">
    <cfRule type="cellIs" dxfId="477" priority="4" stopIfTrue="1" operator="equal">
      <formula>"May be packed"</formula>
    </cfRule>
    <cfRule type="cellIs" dxfId="476" priority="5" stopIfTrue="1" operator="equal">
      <formula>"Do not pack"</formula>
    </cfRule>
  </conditionalFormatting>
  <conditionalFormatting sqref="A3">
    <cfRule type="expression" dxfId="475" priority="21" stopIfTrue="1">
      <formula>ISBLANK($A$3)</formula>
    </cfRule>
  </conditionalFormatting>
  <conditionalFormatting sqref="A4">
    <cfRule type="expression" dxfId="474" priority="26" stopIfTrue="1">
      <formula>ISBLANK($A$4)</formula>
    </cfRule>
  </conditionalFormatting>
  <conditionalFormatting sqref="A5">
    <cfRule type="expression" dxfId="473" priority="31" stopIfTrue="1">
      <formula>ISBLANK($A$5)</formula>
    </cfRule>
  </conditionalFormatting>
  <conditionalFormatting sqref="B3">
    <cfRule type="expression" dxfId="472" priority="6" stopIfTrue="1">
      <formula>ISBLANK($B$3)</formula>
    </cfRule>
  </conditionalFormatting>
  <conditionalFormatting sqref="H3">
    <cfRule type="cellIs" dxfId="471" priority="7" stopIfTrue="1" operator="equal">
      <formula>"May be packed"</formula>
    </cfRule>
    <cfRule type="cellIs" dxfId="470" priority="8" stopIfTrue="1" operator="equal">
      <formula>"Do not pack"</formula>
    </cfRule>
  </conditionalFormatting>
  <conditionalFormatting sqref="B4">
    <cfRule type="expression" dxfId="469" priority="9" stopIfTrue="1">
      <formula>ISBLANK($B$4)</formula>
    </cfRule>
  </conditionalFormatting>
  <conditionalFormatting sqref="H4">
    <cfRule type="cellIs" dxfId="468" priority="10" stopIfTrue="1" operator="equal">
      <formula>"May be packed"</formula>
    </cfRule>
    <cfRule type="cellIs" dxfId="467" priority="11" stopIfTrue="1" operator="equal">
      <formula>"Do not pack"</formula>
    </cfRule>
  </conditionalFormatting>
  <conditionalFormatting sqref="B5">
    <cfRule type="expression" dxfId="466" priority="12" stopIfTrue="1">
      <formula>ISBLANK($B$5)</formula>
    </cfRule>
  </conditionalFormatting>
  <conditionalFormatting sqref="H5">
    <cfRule type="cellIs" dxfId="465" priority="13" stopIfTrue="1" operator="equal">
      <formula>"May be packed"</formula>
    </cfRule>
    <cfRule type="cellIs" dxfId="464" priority="14" stopIfTrue="1" operator="equal">
      <formula>"Do not pack"</formula>
    </cfRule>
  </conditionalFormatting>
  <conditionalFormatting sqref="B2:B5">
    <cfRule type="duplicateValues" dxfId="463" priority="15"/>
  </conditionalFormatting>
  <conditionalFormatting sqref="G3:G5">
    <cfRule type="cellIs" dxfId="462" priority="1" stopIfTrue="1" operator="equal">
      <formula>"No"</formula>
    </cfRule>
  </conditionalFormatting>
  <dataValidations count="5">
    <dataValidation type="decimal" operator="greaterThan" allowBlank="1" showInputMessage="1" showErrorMessage="1" error="Please enter a positive value" sqref="D2:E5">
      <formula1>0</formula1>
    </dataValidation>
    <dataValidation type="list" allowBlank="1" showInputMessage="1" showErrorMessage="1" sqref="G2:G5">
      <formula1>"Yes, No"</formula1>
    </dataValidation>
    <dataValidation type="list" allowBlank="1" showInputMessage="1" showErrorMessage="1" sqref="H2:H5">
      <formula1>"Must be packed, May be packed, Do not pack"</formula1>
    </dataValidation>
    <dataValidation type="decimal" operator="greaterThan" allowBlank="1" showInputMessage="1" showErrorMessage="1" error="Please enter a nonnegative value" sqref="I2:I5">
      <formula1>-0.0001</formula1>
    </dataValidation>
    <dataValidation type="whole" operator="greaterThan" allowBlank="1" showInputMessage="1" showErrorMessage="1" error="Please enter a positive integer value" sqref="J2:J5">
      <formula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H4" sqref="H4"/>
    </sheetView>
  </sheetViews>
  <sheetFormatPr defaultRowHeight="15" x14ac:dyDescent="0.25"/>
  <cols>
    <col min="1" max="1" width="10.85546875" bestFit="1" customWidth="1"/>
    <col min="2" max="2" width="9.7109375" bestFit="1" customWidth="1"/>
    <col min="3" max="3" width="9.42578125" bestFit="1" customWidth="1"/>
    <col min="4" max="4" width="9.7109375" bestFit="1" customWidth="1"/>
    <col min="5" max="5" width="9" bestFit="1" customWidth="1"/>
    <col min="6" max="6" width="13.42578125" bestFit="1" customWidth="1"/>
    <col min="7" max="7" width="4.85546875" bestFit="1" customWidth="1"/>
    <col min="8" max="8" width="14.85546875" bestFit="1" customWidth="1"/>
  </cols>
  <sheetData>
    <row r="1" spans="1:8" x14ac:dyDescent="0.25">
      <c r="A1" s="9" t="s">
        <v>39</v>
      </c>
      <c r="B1" s="9" t="s">
        <v>29</v>
      </c>
      <c r="C1" s="9" t="s">
        <v>31</v>
      </c>
      <c r="D1" s="9" t="s">
        <v>32</v>
      </c>
      <c r="E1" s="9" t="s">
        <v>33</v>
      </c>
      <c r="F1" s="9" t="s">
        <v>40</v>
      </c>
      <c r="G1" s="9" t="s">
        <v>41</v>
      </c>
      <c r="H1" s="9" t="s">
        <v>42</v>
      </c>
    </row>
    <row r="2" spans="1:8" x14ac:dyDescent="0.25">
      <c r="A2" s="12">
        <v>1</v>
      </c>
      <c r="B2" s="13" t="s">
        <v>61</v>
      </c>
      <c r="C2" s="14">
        <v>1</v>
      </c>
      <c r="D2" s="14">
        <v>7.5</v>
      </c>
      <c r="E2" s="15">
        <f>C2*D2</f>
        <v>7.5</v>
      </c>
      <c r="F2" s="13" t="s">
        <v>43</v>
      </c>
      <c r="G2" s="14">
        <v>1</v>
      </c>
      <c r="H2" s="13">
        <v>7</v>
      </c>
    </row>
    <row r="3" spans="1:8" x14ac:dyDescent="0.25">
      <c r="A3" s="12">
        <v>2</v>
      </c>
      <c r="B3" s="34" t="s">
        <v>69</v>
      </c>
      <c r="C3" s="35">
        <v>1</v>
      </c>
      <c r="D3" s="35">
        <v>3</v>
      </c>
      <c r="E3" s="15">
        <f t="shared" ref="E3:E5" si="0">C3*D3</f>
        <v>3</v>
      </c>
      <c r="F3" s="34" t="s">
        <v>43</v>
      </c>
      <c r="G3" s="35">
        <v>1</v>
      </c>
      <c r="H3" s="34">
        <v>2</v>
      </c>
    </row>
    <row r="4" spans="1:8" x14ac:dyDescent="0.25">
      <c r="A4" s="12">
        <v>3</v>
      </c>
      <c r="B4" s="13" t="s">
        <v>72</v>
      </c>
      <c r="C4" s="14">
        <v>1</v>
      </c>
      <c r="D4" s="14">
        <v>2</v>
      </c>
      <c r="E4" s="15">
        <f t="shared" si="0"/>
        <v>2</v>
      </c>
      <c r="F4" s="13" t="s">
        <v>43</v>
      </c>
      <c r="G4" s="14">
        <v>1</v>
      </c>
      <c r="H4" s="13">
        <v>2</v>
      </c>
    </row>
    <row r="5" spans="1:8" x14ac:dyDescent="0.25">
      <c r="A5" s="10">
        <v>4</v>
      </c>
      <c r="B5" s="16" t="s">
        <v>73</v>
      </c>
      <c r="C5" s="17">
        <v>1</v>
      </c>
      <c r="D5" s="17">
        <v>2.5</v>
      </c>
      <c r="E5" s="15">
        <f t="shared" si="0"/>
        <v>2.5</v>
      </c>
      <c r="F5" s="16" t="s">
        <v>43</v>
      </c>
      <c r="G5" s="17">
        <v>1</v>
      </c>
      <c r="H5" s="16">
        <v>2</v>
      </c>
    </row>
    <row r="8" spans="1:8" x14ac:dyDescent="0.25">
      <c r="E8">
        <f>SUMPRODUCT(E2:E5, H2:H5)</f>
        <v>67.5</v>
      </c>
    </row>
  </sheetData>
  <conditionalFormatting sqref="A2">
    <cfRule type="expression" dxfId="461" priority="1" stopIfTrue="1">
      <formula>ISBLANK(A2)</formula>
    </cfRule>
  </conditionalFormatting>
  <conditionalFormatting sqref="B2">
    <cfRule type="expression" dxfId="460" priority="2" stopIfTrue="1">
      <formula>ISBLANK(B2)</formula>
    </cfRule>
  </conditionalFormatting>
  <conditionalFormatting sqref="F2">
    <cfRule type="cellIs" dxfId="459" priority="3" stopIfTrue="1" operator="equal">
      <formula>"Must be used"</formula>
    </cfRule>
    <cfRule type="cellIs" dxfId="458" priority="4" stopIfTrue="1" operator="equal">
      <formula>"Do not use"</formula>
    </cfRule>
  </conditionalFormatting>
  <conditionalFormatting sqref="A3">
    <cfRule type="expression" dxfId="457" priority="5" stopIfTrue="1">
      <formula>ISBLANK(A3)</formula>
    </cfRule>
  </conditionalFormatting>
  <conditionalFormatting sqref="B3">
    <cfRule type="expression" dxfId="456" priority="6" stopIfTrue="1">
      <formula>ISBLANK(B3)</formula>
    </cfRule>
  </conditionalFormatting>
  <conditionalFormatting sqref="F3">
    <cfRule type="cellIs" dxfId="455" priority="7" stopIfTrue="1" operator="equal">
      <formula>"Must be used"</formula>
    </cfRule>
    <cfRule type="cellIs" dxfId="454" priority="8" stopIfTrue="1" operator="equal">
      <formula>"Do not use"</formula>
    </cfRule>
  </conditionalFormatting>
  <conditionalFormatting sqref="A4">
    <cfRule type="expression" dxfId="453" priority="9" stopIfTrue="1">
      <formula>ISBLANK(A4)</formula>
    </cfRule>
  </conditionalFormatting>
  <conditionalFormatting sqref="B4">
    <cfRule type="expression" dxfId="452" priority="10" stopIfTrue="1">
      <formula>ISBLANK(B4)</formula>
    </cfRule>
  </conditionalFormatting>
  <conditionalFormatting sqref="F4">
    <cfRule type="cellIs" dxfId="451" priority="11" stopIfTrue="1" operator="equal">
      <formula>"Must be used"</formula>
    </cfRule>
    <cfRule type="cellIs" dxfId="450" priority="12" stopIfTrue="1" operator="equal">
      <formula>"Do not use"</formula>
    </cfRule>
  </conditionalFormatting>
  <conditionalFormatting sqref="A5">
    <cfRule type="expression" dxfId="449" priority="13" stopIfTrue="1">
      <formula>ISBLANK(A5)</formula>
    </cfRule>
  </conditionalFormatting>
  <conditionalFormatting sqref="B5">
    <cfRule type="expression" dxfId="448" priority="14" stopIfTrue="1">
      <formula>ISBLANK(B5)</formula>
    </cfRule>
  </conditionalFormatting>
  <conditionalFormatting sqref="F5">
    <cfRule type="cellIs" dxfId="447" priority="15" stopIfTrue="1" operator="equal">
      <formula>"Must be used"</formula>
    </cfRule>
    <cfRule type="cellIs" dxfId="446" priority="16" stopIfTrue="1" operator="equal">
      <formula>"Do not use"</formula>
    </cfRule>
  </conditionalFormatting>
  <conditionalFormatting sqref="B2:B5">
    <cfRule type="duplicateValues" dxfId="445" priority="17"/>
  </conditionalFormatting>
  <dataValidations count="17">
    <dataValidation type="decimal" operator="greaterThan" allowBlank="1" showInputMessage="1" showErrorMessage="1" error="Please enter a positive value" sqref="C2">
      <formula1>0</formula1>
    </dataValidation>
    <dataValidation type="decimal" operator="greaterThan" allowBlank="1" showInputMessage="1" showErrorMessage="1" error="Please enter a positive value" sqref="D2">
      <formula1>0</formula1>
    </dataValidation>
    <dataValidation type="list" allowBlank="1" showInputMessage="1" showErrorMessage="1" sqref="F2:F5">
      <formula1>"May be used, Do not use"</formula1>
    </dataValidation>
    <dataValidation type="decimal" operator="greaterThan" allowBlank="1" showInputMessage="1" showErrorMessage="1" error="Please enter a nonnegative value" sqref="G2">
      <formula1>-0.0001</formula1>
    </dataValidation>
    <dataValidation type="whole" operator="greaterThan" allowBlank="1" showInputMessage="1" showErrorMessage="1" error="Please enter a positive integer value" sqref="H2">
      <formula1>0</formula1>
    </dataValidation>
    <dataValidation type="decimal" operator="greaterThan" allowBlank="1" showInputMessage="1" showErrorMessage="1" error="Please enter a positive value" sqref="C3">
      <formula1>0</formula1>
    </dataValidation>
    <dataValidation type="decimal" operator="greaterThan" allowBlank="1" showInputMessage="1" showErrorMessage="1" error="Please enter a positive value" sqref="D3">
      <formula1>0</formula1>
    </dataValidation>
    <dataValidation type="decimal" operator="greaterThan" allowBlank="1" showInputMessage="1" showErrorMessage="1" error="Please enter a nonnegative value" sqref="G3">
      <formula1>-0.0001</formula1>
    </dataValidation>
    <dataValidation type="whole" operator="greaterThan" allowBlank="1" showInputMessage="1" showErrorMessage="1" error="Please enter a positive integer value" sqref="H3">
      <formula1>0</formula1>
    </dataValidation>
    <dataValidation type="decimal" operator="greaterThan" allowBlank="1" showInputMessage="1" showErrorMessage="1" error="Please enter a positive value" sqref="C4">
      <formula1>0</formula1>
    </dataValidation>
    <dataValidation type="decimal" operator="greaterThan" allowBlank="1" showInputMessage="1" showErrorMessage="1" error="Please enter a positive value" sqref="D4">
      <formula1>0</formula1>
    </dataValidation>
    <dataValidation type="decimal" operator="greaterThan" allowBlank="1" showInputMessage="1" showErrorMessage="1" error="Please enter a nonnegative value" sqref="G4">
      <formula1>-0.0001</formula1>
    </dataValidation>
    <dataValidation type="whole" operator="greaterThan" allowBlank="1" showInputMessage="1" showErrorMessage="1" error="Please enter a positive integer value" sqref="H4">
      <formula1>0</formula1>
    </dataValidation>
    <dataValidation type="decimal" operator="greaterThan" allowBlank="1" showInputMessage="1" showErrorMessage="1" error="Please enter a positive value" sqref="C5">
      <formula1>0</formula1>
    </dataValidation>
    <dataValidation type="decimal" operator="greaterThan" allowBlank="1" showInputMessage="1" showErrorMessage="1" error="Please enter a positive value" sqref="D5">
      <formula1>0</formula1>
    </dataValidation>
    <dataValidation type="decimal" operator="greaterThan" allowBlank="1" showInputMessage="1" showErrorMessage="1" error="Please enter a nonnegative value" sqref="G5">
      <formula1>-0.0001</formula1>
    </dataValidation>
    <dataValidation type="whole" operator="greaterThan" allowBlank="1" showInputMessage="1" showErrorMessage="1" error="Please enter a positive integer value" sqref="H5">
      <formula1>0</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K22"/>
  <sheetViews>
    <sheetView workbookViewId="0"/>
  </sheetViews>
  <sheetFormatPr defaultRowHeight="15" x14ac:dyDescent="0.25"/>
  <cols>
    <col min="1" max="1" width="16.85546875" bestFit="1" customWidth="1"/>
    <col min="2" max="2" width="15.140625" bestFit="1" customWidth="1"/>
    <col min="3" max="4" width="12" bestFit="1" customWidth="1"/>
    <col min="5" max="5" width="9" bestFit="1" customWidth="1"/>
    <col min="6" max="6" width="11.85546875" hidden="1" customWidth="1"/>
    <col min="7" max="8" width="12" hidden="1" customWidth="1"/>
    <col min="9" max="9" width="20.28515625" bestFit="1" customWidth="1"/>
    <col min="10" max="11" width="9.7109375" bestFit="1" customWidth="1"/>
    <col min="14" max="14" width="16.85546875" bestFit="1" customWidth="1"/>
    <col min="15" max="15" width="15.140625" bestFit="1" customWidth="1"/>
    <col min="16" max="17" width="12" bestFit="1" customWidth="1"/>
    <col min="18" max="18" width="9" bestFit="1" customWidth="1"/>
    <col min="19" max="19" width="11.85546875" hidden="1" customWidth="1"/>
    <col min="20" max="21" width="12" hidden="1" customWidth="1"/>
    <col min="22" max="22" width="20.28515625" bestFit="1" customWidth="1"/>
    <col min="23" max="24" width="9.7109375" bestFit="1" customWidth="1"/>
    <col min="27" max="27" width="16.85546875" bestFit="1" customWidth="1"/>
    <col min="28" max="28" width="15.140625" bestFit="1" customWidth="1"/>
    <col min="29" max="30" width="12" bestFit="1" customWidth="1"/>
    <col min="31" max="31" width="9" bestFit="1" customWidth="1"/>
    <col min="32" max="32" width="11.85546875" hidden="1" customWidth="1"/>
    <col min="33" max="34" width="12" hidden="1" customWidth="1"/>
    <col min="35" max="35" width="20.28515625" bestFit="1" customWidth="1"/>
    <col min="36" max="37" width="9.7109375" bestFit="1" customWidth="1"/>
    <col min="40" max="40" width="16.85546875" bestFit="1" customWidth="1"/>
    <col min="41" max="41" width="15.140625" bestFit="1" customWidth="1"/>
    <col min="42" max="43" width="12" bestFit="1" customWidth="1"/>
    <col min="44" max="44" width="9" bestFit="1" customWidth="1"/>
    <col min="45" max="45" width="11.85546875" hidden="1" customWidth="1"/>
    <col min="46" max="47" width="12" hidden="1" customWidth="1"/>
    <col min="48" max="48" width="20.28515625" bestFit="1" customWidth="1"/>
    <col min="49" max="50" width="9.7109375" bestFit="1" customWidth="1"/>
    <col min="53" max="53" width="16.85546875" bestFit="1" customWidth="1"/>
    <col min="54" max="54" width="15.140625" bestFit="1" customWidth="1"/>
    <col min="55" max="56" width="12" bestFit="1" customWidth="1"/>
    <col min="57" max="57" width="9" bestFit="1" customWidth="1"/>
    <col min="58" max="58" width="11.85546875" hidden="1" customWidth="1"/>
    <col min="59" max="60" width="12" hidden="1" customWidth="1"/>
    <col min="61" max="61" width="20.28515625" bestFit="1" customWidth="1"/>
    <col min="62" max="63" width="9.7109375" bestFit="1" customWidth="1"/>
    <col min="66" max="66" width="16.85546875" bestFit="1" customWidth="1"/>
    <col min="67" max="67" width="15.140625" bestFit="1" customWidth="1"/>
    <col min="68" max="69" width="12" bestFit="1" customWidth="1"/>
    <col min="70" max="70" width="9" bestFit="1" customWidth="1"/>
    <col min="71" max="71" width="11.85546875" hidden="1" customWidth="1"/>
    <col min="72" max="73" width="12" hidden="1" customWidth="1"/>
    <col min="74" max="74" width="20.28515625" bestFit="1" customWidth="1"/>
    <col min="75" max="76" width="9.7109375" bestFit="1" customWidth="1"/>
    <col min="79" max="79" width="16.85546875" bestFit="1" customWidth="1"/>
    <col min="80" max="80" width="15.140625" bestFit="1" customWidth="1"/>
    <col min="81" max="82" width="12" bestFit="1" customWidth="1"/>
    <col min="83" max="83" width="9" bestFit="1" customWidth="1"/>
    <col min="84" max="84" width="11.85546875" hidden="1" customWidth="1"/>
    <col min="85" max="86" width="12" hidden="1" customWidth="1"/>
    <col min="87" max="87" width="20.28515625" bestFit="1" customWidth="1"/>
    <col min="88" max="89" width="9.7109375" bestFit="1" customWidth="1"/>
    <col min="92" max="92" width="16.85546875" bestFit="1" customWidth="1"/>
    <col min="93" max="93" width="15.140625" bestFit="1" customWidth="1"/>
    <col min="94" max="95" width="12" bestFit="1" customWidth="1"/>
    <col min="96" max="96" width="9" bestFit="1" customWidth="1"/>
    <col min="97" max="97" width="11.85546875" hidden="1" customWidth="1"/>
    <col min="98" max="99" width="12" hidden="1" customWidth="1"/>
    <col min="100" max="100" width="20.28515625" bestFit="1" customWidth="1"/>
    <col min="101" max="102" width="9.7109375" bestFit="1" customWidth="1"/>
    <col min="105" max="105" width="16.85546875" bestFit="1" customWidth="1"/>
    <col min="106" max="106" width="15.140625" bestFit="1" customWidth="1"/>
    <col min="107" max="108" width="12" bestFit="1" customWidth="1"/>
    <col min="109" max="109" width="9" bestFit="1" customWidth="1"/>
    <col min="110" max="110" width="11.85546875" hidden="1" customWidth="1"/>
    <col min="111" max="112" width="12" hidden="1" customWidth="1"/>
    <col min="113" max="113" width="20.28515625" bestFit="1" customWidth="1"/>
    <col min="114" max="115" width="9.7109375" bestFit="1" customWidth="1"/>
    <col min="118" max="118" width="16.85546875" bestFit="1" customWidth="1"/>
    <col min="119" max="119" width="15.140625" bestFit="1" customWidth="1"/>
    <col min="120" max="121" width="12" bestFit="1" customWidth="1"/>
    <col min="122" max="122" width="9" bestFit="1" customWidth="1"/>
    <col min="123" max="123" width="11.85546875" hidden="1" customWidth="1"/>
    <col min="124" max="125" width="12" hidden="1" customWidth="1"/>
    <col min="126" max="126" width="20.28515625" bestFit="1" customWidth="1"/>
    <col min="127" max="128" width="9.7109375" bestFit="1" customWidth="1"/>
    <col min="131" max="131" width="16.85546875" bestFit="1" customWidth="1"/>
    <col min="132" max="132" width="15.140625" bestFit="1" customWidth="1"/>
    <col min="133" max="134" width="12" bestFit="1" customWidth="1"/>
    <col min="135" max="135" width="9" bestFit="1" customWidth="1"/>
    <col min="136" max="136" width="11.85546875" hidden="1" customWidth="1"/>
    <col min="137" max="138" width="12" hidden="1" customWidth="1"/>
    <col min="139" max="139" width="20.28515625" bestFit="1" customWidth="1"/>
    <col min="140" max="141" width="9.7109375" bestFit="1" customWidth="1"/>
    <col min="144" max="144" width="16.85546875" bestFit="1" customWidth="1"/>
    <col min="145" max="145" width="15.140625" bestFit="1" customWidth="1"/>
    <col min="146" max="147" width="12" bestFit="1" customWidth="1"/>
    <col min="148" max="148" width="9" bestFit="1" customWidth="1"/>
    <col min="149" max="149" width="11.85546875" hidden="1" customWidth="1"/>
    <col min="150" max="151" width="12" hidden="1" customWidth="1"/>
    <col min="152" max="152" width="20.28515625" bestFit="1" customWidth="1"/>
    <col min="153" max="154" width="9.7109375" bestFit="1" customWidth="1"/>
    <col min="157" max="157" width="16.85546875" bestFit="1" customWidth="1"/>
    <col min="158" max="158" width="15.140625" bestFit="1" customWidth="1"/>
    <col min="159" max="160" width="12" bestFit="1" customWidth="1"/>
    <col min="161" max="161" width="9" bestFit="1" customWidth="1"/>
    <col min="162" max="162" width="11.85546875" hidden="1" customWidth="1"/>
    <col min="163" max="164" width="12" hidden="1" customWidth="1"/>
    <col min="165" max="165" width="20.28515625" bestFit="1" customWidth="1"/>
    <col min="166" max="167" width="9.7109375" bestFit="1" customWidth="1"/>
  </cols>
  <sheetData>
    <row r="1" spans="1:167" s="3" customFormat="1" x14ac:dyDescent="0.25">
      <c r="A1" s="3" t="s">
        <v>44</v>
      </c>
      <c r="B1" s="29">
        <f ca="1">+$K$4+$X$4+$AK$4+$AX$4+$BK$4+$BX$4+$CK$4+$CX$4+$DK$4+$DX$4+$EK$4+$EX$4+$FK$4</f>
        <v>-10</v>
      </c>
    </row>
    <row r="2" spans="1:167" s="3" customFormat="1" x14ac:dyDescent="0.25">
      <c r="A2" s="32"/>
      <c r="B2" s="32"/>
      <c r="C2" s="32"/>
      <c r="D2" s="32"/>
      <c r="E2" s="32"/>
      <c r="F2" s="32"/>
      <c r="G2" s="32"/>
      <c r="H2" s="32"/>
      <c r="I2" s="32"/>
      <c r="J2" s="32"/>
      <c r="K2" s="32"/>
    </row>
    <row r="3" spans="1:167" s="3" customFormat="1" x14ac:dyDescent="0.25">
      <c r="A3" s="3" t="s">
        <v>62</v>
      </c>
      <c r="I3" s="3" t="s">
        <v>53</v>
      </c>
      <c r="J3" s="3" t="s">
        <v>54</v>
      </c>
      <c r="K3" s="3" t="s">
        <v>55</v>
      </c>
      <c r="N3" s="3" t="s">
        <v>63</v>
      </c>
      <c r="V3" s="3" t="s">
        <v>53</v>
      </c>
      <c r="W3" s="3" t="s">
        <v>54</v>
      </c>
      <c r="X3" s="3" t="s">
        <v>55</v>
      </c>
      <c r="AA3" s="3" t="s">
        <v>64</v>
      </c>
      <c r="AI3" s="3" t="s">
        <v>53</v>
      </c>
      <c r="AJ3" s="3" t="s">
        <v>54</v>
      </c>
      <c r="AK3" s="3" t="s">
        <v>55</v>
      </c>
      <c r="AN3" s="3" t="s">
        <v>65</v>
      </c>
      <c r="AV3" s="3" t="s">
        <v>53</v>
      </c>
      <c r="AW3" s="3" t="s">
        <v>54</v>
      </c>
      <c r="AX3" s="3" t="s">
        <v>55</v>
      </c>
      <c r="BA3" s="3" t="s">
        <v>66</v>
      </c>
      <c r="BI3" s="3" t="s">
        <v>53</v>
      </c>
      <c r="BJ3" s="3" t="s">
        <v>54</v>
      </c>
      <c r="BK3" s="3" t="s">
        <v>55</v>
      </c>
      <c r="BN3" s="3" t="s">
        <v>67</v>
      </c>
      <c r="BV3" s="3" t="s">
        <v>53</v>
      </c>
      <c r="BW3" s="3" t="s">
        <v>54</v>
      </c>
      <c r="BX3" s="3" t="s">
        <v>55</v>
      </c>
      <c r="CA3" s="3" t="s">
        <v>68</v>
      </c>
      <c r="CI3" s="3" t="s">
        <v>53</v>
      </c>
      <c r="CJ3" s="3" t="s">
        <v>54</v>
      </c>
      <c r="CK3" s="3" t="s">
        <v>55</v>
      </c>
      <c r="CN3" s="3" t="s">
        <v>70</v>
      </c>
      <c r="CV3" s="3" t="s">
        <v>53</v>
      </c>
      <c r="CW3" s="3" t="s">
        <v>54</v>
      </c>
      <c r="CX3" s="3" t="s">
        <v>55</v>
      </c>
      <c r="DA3" s="3" t="s">
        <v>71</v>
      </c>
      <c r="DI3" s="3" t="s">
        <v>53</v>
      </c>
      <c r="DJ3" s="3" t="s">
        <v>54</v>
      </c>
      <c r="DK3" s="3" t="s">
        <v>55</v>
      </c>
      <c r="DN3" s="3" t="s">
        <v>74</v>
      </c>
      <c r="DV3" s="3" t="s">
        <v>53</v>
      </c>
      <c r="DW3" s="3" t="s">
        <v>54</v>
      </c>
      <c r="DX3" s="3" t="s">
        <v>55</v>
      </c>
      <c r="EA3" s="3" t="s">
        <v>75</v>
      </c>
      <c r="EI3" s="3" t="s">
        <v>53</v>
      </c>
      <c r="EJ3" s="3" t="s">
        <v>54</v>
      </c>
      <c r="EK3" s="3" t="s">
        <v>55</v>
      </c>
      <c r="EN3" s="3" t="s">
        <v>76</v>
      </c>
      <c r="EV3" s="3" t="s">
        <v>53</v>
      </c>
      <c r="EW3" s="3" t="s">
        <v>54</v>
      </c>
      <c r="EX3" s="3" t="s">
        <v>55</v>
      </c>
      <c r="FA3" s="3" t="s">
        <v>77</v>
      </c>
      <c r="FI3" s="3" t="s">
        <v>53</v>
      </c>
      <c r="FJ3" s="3" t="s">
        <v>54</v>
      </c>
      <c r="FK3" s="3" t="s">
        <v>55</v>
      </c>
    </row>
    <row r="4" spans="1:167" s="3" customFormat="1" x14ac:dyDescent="0.25">
      <c r="C4" s="33" t="s">
        <v>47</v>
      </c>
      <c r="D4" s="33"/>
      <c r="G4" s="33" t="s">
        <v>52</v>
      </c>
      <c r="H4" s="33"/>
      <c r="I4" s="30">
        <v>15</v>
      </c>
      <c r="J4" s="31">
        <f ca="1">SUM($J$6:$J$20)</f>
        <v>7.5</v>
      </c>
      <c r="K4" s="31">
        <f ca="1">SUM($K$6:$K$20)+ IF(COUNTA('3.Solution'!$B$6:$B$20),-INDEX('2.Bins'!$G$2:$G$5,1), 0)</f>
        <v>-1</v>
      </c>
      <c r="P4" s="33" t="s">
        <v>47</v>
      </c>
      <c r="Q4" s="33"/>
      <c r="T4" s="33" t="s">
        <v>52</v>
      </c>
      <c r="U4" s="33"/>
      <c r="V4" s="30">
        <v>15</v>
      </c>
      <c r="W4" s="31">
        <f ca="1">SUM($W$6:$W$20)</f>
        <v>7.5</v>
      </c>
      <c r="X4" s="31">
        <f ca="1">SUM($X$6:$X$20)+ IF(COUNTA('3.Solution'!$O$6:$O$20),-INDEX('2.Bins'!$G$2:$G$5,1), 0)</f>
        <v>-1</v>
      </c>
      <c r="AC4" s="33" t="s">
        <v>47</v>
      </c>
      <c r="AD4" s="33"/>
      <c r="AG4" s="33" t="s">
        <v>52</v>
      </c>
      <c r="AH4" s="33"/>
      <c r="AI4" s="30">
        <v>15</v>
      </c>
      <c r="AJ4" s="31">
        <f ca="1">SUM($AJ$6:$AJ$20)</f>
        <v>7.5</v>
      </c>
      <c r="AK4" s="31">
        <f ca="1">SUM($AK$6:$AK$20)+ IF(COUNTA('3.Solution'!$AB$6:$AB$20),-INDEX('2.Bins'!$G$2:$G$5,1), 0)</f>
        <v>-1</v>
      </c>
      <c r="AP4" s="33" t="s">
        <v>47</v>
      </c>
      <c r="AQ4" s="33"/>
      <c r="AT4" s="33" t="s">
        <v>52</v>
      </c>
      <c r="AU4" s="33"/>
      <c r="AV4" s="30">
        <v>15</v>
      </c>
      <c r="AW4" s="31">
        <f ca="1">SUM($AW$6:$AW$20)</f>
        <v>7.5</v>
      </c>
      <c r="AX4" s="31">
        <f ca="1">SUM($AX$6:$AX$20)+ IF(COUNTA('3.Solution'!$AO$6:$AO$20),-INDEX('2.Bins'!$G$2:$G$5,1), 0)</f>
        <v>-1</v>
      </c>
      <c r="BC4" s="33" t="s">
        <v>47</v>
      </c>
      <c r="BD4" s="33"/>
      <c r="BG4" s="33" t="s">
        <v>52</v>
      </c>
      <c r="BH4" s="33"/>
      <c r="BI4" s="30">
        <v>15</v>
      </c>
      <c r="BJ4" s="31">
        <f ca="1">SUM($BJ$6:$BJ$20)</f>
        <v>7.5</v>
      </c>
      <c r="BK4" s="31">
        <f ca="1">SUM($BK$6:$BK$20)+ IF(COUNTA('3.Solution'!$BB$6:$BB$20),-INDEX('2.Bins'!$G$2:$G$5,1), 0)</f>
        <v>-1</v>
      </c>
      <c r="BP4" s="33" t="s">
        <v>47</v>
      </c>
      <c r="BQ4" s="33"/>
      <c r="BT4" s="33" t="s">
        <v>52</v>
      </c>
      <c r="BU4" s="33"/>
      <c r="BV4" s="30">
        <v>15</v>
      </c>
      <c r="BW4" s="31">
        <f ca="1">SUM($BW$6:$BW$20)</f>
        <v>7.5</v>
      </c>
      <c r="BX4" s="31">
        <f ca="1">SUM($BX$6:$BX$20)+ IF(COUNTA('3.Solution'!$BO$6:$BO$20),-INDEX('2.Bins'!$G$2:$G$5,1), 0)</f>
        <v>-1</v>
      </c>
      <c r="CC4" s="33" t="s">
        <v>47</v>
      </c>
      <c r="CD4" s="33"/>
      <c r="CG4" s="33" t="s">
        <v>52</v>
      </c>
      <c r="CH4" s="33"/>
      <c r="CI4" s="30">
        <v>15</v>
      </c>
      <c r="CJ4" s="31">
        <f ca="1">SUM($CJ$6:$CJ$20)</f>
        <v>7.5</v>
      </c>
      <c r="CK4" s="31">
        <f ca="1">SUM($CK$6:$CK$20)+ IF(COUNTA('3.Solution'!$CB$6:$CB$20),-INDEX('2.Bins'!$G$2:$G$5,1), 0)</f>
        <v>-1</v>
      </c>
      <c r="CP4" s="33" t="s">
        <v>47</v>
      </c>
      <c r="CQ4" s="33"/>
      <c r="CT4" s="33" t="s">
        <v>52</v>
      </c>
      <c r="CU4" s="33"/>
      <c r="CV4" s="30">
        <v>6</v>
      </c>
      <c r="CW4" s="31">
        <f ca="1">SUM($CW$6:$CW$11)</f>
        <v>2.5</v>
      </c>
      <c r="CX4" s="31">
        <f ca="1">SUM($CX$6:$CX$11)+ IF(COUNTA('3.Solution'!$CO$6:$CO$11),-INDEX('2.Bins'!$G$2:$G$5,2), 0)</f>
        <v>-1</v>
      </c>
      <c r="DC4" s="33" t="s">
        <v>47</v>
      </c>
      <c r="DD4" s="33"/>
      <c r="DG4" s="33" t="s">
        <v>52</v>
      </c>
      <c r="DH4" s="33"/>
      <c r="DI4" s="30">
        <v>6</v>
      </c>
      <c r="DJ4" s="31">
        <f ca="1">SUM($DJ$6:$DJ$11)</f>
        <v>2</v>
      </c>
      <c r="DK4" s="31">
        <f ca="1">SUM($DK$6:$DK$11)+ IF(COUNTA('3.Solution'!$DB$6:$DB$11),-INDEX('2.Bins'!$G$2:$G$5,2), 0)</f>
        <v>-1</v>
      </c>
      <c r="DP4" s="33" t="s">
        <v>47</v>
      </c>
      <c r="DQ4" s="33"/>
      <c r="DT4" s="33" t="s">
        <v>52</v>
      </c>
      <c r="DU4" s="33"/>
      <c r="DV4" s="30">
        <v>4</v>
      </c>
      <c r="DW4" s="31">
        <f ca="1">SUM($DW$6:$DW$9)</f>
        <v>2</v>
      </c>
      <c r="DX4" s="31">
        <f ca="1">SUM($DX$6:$DX$9)+ IF(COUNTA('3.Solution'!$DO$6:$DO$9),-INDEX('2.Bins'!$G$2:$G$5,3), 0)</f>
        <v>-1</v>
      </c>
      <c r="EC4" s="33" t="s">
        <v>47</v>
      </c>
      <c r="ED4" s="33"/>
      <c r="EG4" s="33" t="s">
        <v>52</v>
      </c>
      <c r="EH4" s="33"/>
      <c r="EI4" s="30">
        <v>4</v>
      </c>
      <c r="EJ4" s="31">
        <f ca="1">SUM($EJ$6:$EJ$9)</f>
        <v>0</v>
      </c>
      <c r="EK4" s="31">
        <f ca="1">SUM($EK$6:$EK$9)+ IF(COUNTA('3.Solution'!$EB$6:$EB$9),-INDEX('2.Bins'!$G$2:$G$5,3), 0)</f>
        <v>0</v>
      </c>
      <c r="EP4" s="33" t="s">
        <v>47</v>
      </c>
      <c r="EQ4" s="33"/>
      <c r="ET4" s="33" t="s">
        <v>52</v>
      </c>
      <c r="EU4" s="33"/>
      <c r="EV4" s="30">
        <v>5</v>
      </c>
      <c r="EW4" s="31">
        <f ca="1">SUM($EW$6:$EW$10)</f>
        <v>0</v>
      </c>
      <c r="EX4" s="31">
        <f ca="1">SUM($EX$6:$EX$10)+ IF(COUNTA('3.Solution'!$EO$6:$EO$10),-INDEX('2.Bins'!$G$2:$G$5,4), 0)</f>
        <v>0</v>
      </c>
      <c r="FC4" s="33" t="s">
        <v>47</v>
      </c>
      <c r="FD4" s="33"/>
      <c r="FG4" s="33" t="s">
        <v>52</v>
      </c>
      <c r="FH4" s="33"/>
      <c r="FI4" s="30">
        <v>5</v>
      </c>
      <c r="FJ4" s="31">
        <f ca="1">SUM($FJ$6:$FJ$10)</f>
        <v>0</v>
      </c>
      <c r="FK4" s="31">
        <f ca="1">SUM($FK$6:$FK$10)+ IF(COUNTA('3.Solution'!$FB$6:$FB$10),-INDEX('2.Bins'!$G$2:$G$5,4), 0)</f>
        <v>0</v>
      </c>
    </row>
    <row r="5" spans="1:167" s="3" customFormat="1" x14ac:dyDescent="0.25">
      <c r="A5" s="3" t="s">
        <v>45</v>
      </c>
      <c r="B5" s="3" t="s">
        <v>46</v>
      </c>
      <c r="C5" s="3" t="s">
        <v>48</v>
      </c>
      <c r="D5" s="3" t="s">
        <v>49</v>
      </c>
      <c r="E5" s="3" t="s">
        <v>50</v>
      </c>
      <c r="F5" s="3" t="s">
        <v>51</v>
      </c>
      <c r="G5" s="3" t="s">
        <v>48</v>
      </c>
      <c r="H5" s="3" t="s">
        <v>49</v>
      </c>
      <c r="I5" s="3" t="s">
        <v>34</v>
      </c>
      <c r="J5" s="3" t="s">
        <v>14</v>
      </c>
      <c r="K5" s="3" t="s">
        <v>36</v>
      </c>
      <c r="N5" s="3" t="s">
        <v>45</v>
      </c>
      <c r="O5" s="3" t="s">
        <v>46</v>
      </c>
      <c r="P5" s="3" t="s">
        <v>48</v>
      </c>
      <c r="Q5" s="3" t="s">
        <v>49</v>
      </c>
      <c r="R5" s="3" t="s">
        <v>50</v>
      </c>
      <c r="S5" s="3" t="s">
        <v>51</v>
      </c>
      <c r="T5" s="3" t="s">
        <v>48</v>
      </c>
      <c r="U5" s="3" t="s">
        <v>49</v>
      </c>
      <c r="V5" s="3" t="s">
        <v>34</v>
      </c>
      <c r="W5" s="3" t="s">
        <v>14</v>
      </c>
      <c r="X5" s="3" t="s">
        <v>36</v>
      </c>
      <c r="AA5" s="3" t="s">
        <v>45</v>
      </c>
      <c r="AB5" s="3" t="s">
        <v>46</v>
      </c>
      <c r="AC5" s="3" t="s">
        <v>48</v>
      </c>
      <c r="AD5" s="3" t="s">
        <v>49</v>
      </c>
      <c r="AE5" s="3" t="s">
        <v>50</v>
      </c>
      <c r="AF5" s="3" t="s">
        <v>51</v>
      </c>
      <c r="AG5" s="3" t="s">
        <v>48</v>
      </c>
      <c r="AH5" s="3" t="s">
        <v>49</v>
      </c>
      <c r="AI5" s="3" t="s">
        <v>34</v>
      </c>
      <c r="AJ5" s="3" t="s">
        <v>14</v>
      </c>
      <c r="AK5" s="3" t="s">
        <v>36</v>
      </c>
      <c r="AN5" s="3" t="s">
        <v>45</v>
      </c>
      <c r="AO5" s="3" t="s">
        <v>46</v>
      </c>
      <c r="AP5" s="3" t="s">
        <v>48</v>
      </c>
      <c r="AQ5" s="3" t="s">
        <v>49</v>
      </c>
      <c r="AR5" s="3" t="s">
        <v>50</v>
      </c>
      <c r="AS5" s="3" t="s">
        <v>51</v>
      </c>
      <c r="AT5" s="3" t="s">
        <v>48</v>
      </c>
      <c r="AU5" s="3" t="s">
        <v>49</v>
      </c>
      <c r="AV5" s="3" t="s">
        <v>34</v>
      </c>
      <c r="AW5" s="3" t="s">
        <v>14</v>
      </c>
      <c r="AX5" s="3" t="s">
        <v>36</v>
      </c>
      <c r="BA5" s="3" t="s">
        <v>45</v>
      </c>
      <c r="BB5" s="3" t="s">
        <v>46</v>
      </c>
      <c r="BC5" s="3" t="s">
        <v>48</v>
      </c>
      <c r="BD5" s="3" t="s">
        <v>49</v>
      </c>
      <c r="BE5" s="3" t="s">
        <v>50</v>
      </c>
      <c r="BF5" s="3" t="s">
        <v>51</v>
      </c>
      <c r="BG5" s="3" t="s">
        <v>48</v>
      </c>
      <c r="BH5" s="3" t="s">
        <v>49</v>
      </c>
      <c r="BI5" s="3" t="s">
        <v>34</v>
      </c>
      <c r="BJ5" s="3" t="s">
        <v>14</v>
      </c>
      <c r="BK5" s="3" t="s">
        <v>36</v>
      </c>
      <c r="BN5" s="3" t="s">
        <v>45</v>
      </c>
      <c r="BO5" s="3" t="s">
        <v>46</v>
      </c>
      <c r="BP5" s="3" t="s">
        <v>48</v>
      </c>
      <c r="BQ5" s="3" t="s">
        <v>49</v>
      </c>
      <c r="BR5" s="3" t="s">
        <v>50</v>
      </c>
      <c r="BS5" s="3" t="s">
        <v>51</v>
      </c>
      <c r="BT5" s="3" t="s">
        <v>48</v>
      </c>
      <c r="BU5" s="3" t="s">
        <v>49</v>
      </c>
      <c r="BV5" s="3" t="s">
        <v>34</v>
      </c>
      <c r="BW5" s="3" t="s">
        <v>14</v>
      </c>
      <c r="BX5" s="3" t="s">
        <v>36</v>
      </c>
      <c r="CA5" s="3" t="s">
        <v>45</v>
      </c>
      <c r="CB5" s="3" t="s">
        <v>46</v>
      </c>
      <c r="CC5" s="3" t="s">
        <v>48</v>
      </c>
      <c r="CD5" s="3" t="s">
        <v>49</v>
      </c>
      <c r="CE5" s="3" t="s">
        <v>50</v>
      </c>
      <c r="CF5" s="3" t="s">
        <v>51</v>
      </c>
      <c r="CG5" s="3" t="s">
        <v>48</v>
      </c>
      <c r="CH5" s="3" t="s">
        <v>49</v>
      </c>
      <c r="CI5" s="3" t="s">
        <v>34</v>
      </c>
      <c r="CJ5" s="3" t="s">
        <v>14</v>
      </c>
      <c r="CK5" s="3" t="s">
        <v>36</v>
      </c>
      <c r="CN5" s="3" t="s">
        <v>45</v>
      </c>
      <c r="CO5" s="3" t="s">
        <v>46</v>
      </c>
      <c r="CP5" s="3" t="s">
        <v>48</v>
      </c>
      <c r="CQ5" s="3" t="s">
        <v>49</v>
      </c>
      <c r="CR5" s="3" t="s">
        <v>50</v>
      </c>
      <c r="CS5" s="3" t="s">
        <v>51</v>
      </c>
      <c r="CT5" s="3" t="s">
        <v>48</v>
      </c>
      <c r="CU5" s="3" t="s">
        <v>49</v>
      </c>
      <c r="CV5" s="3" t="s">
        <v>34</v>
      </c>
      <c r="CW5" s="3" t="s">
        <v>14</v>
      </c>
      <c r="CX5" s="3" t="s">
        <v>36</v>
      </c>
      <c r="DA5" s="3" t="s">
        <v>45</v>
      </c>
      <c r="DB5" s="3" t="s">
        <v>46</v>
      </c>
      <c r="DC5" s="3" t="s">
        <v>48</v>
      </c>
      <c r="DD5" s="3" t="s">
        <v>49</v>
      </c>
      <c r="DE5" s="3" t="s">
        <v>50</v>
      </c>
      <c r="DF5" s="3" t="s">
        <v>51</v>
      </c>
      <c r="DG5" s="3" t="s">
        <v>48</v>
      </c>
      <c r="DH5" s="3" t="s">
        <v>49</v>
      </c>
      <c r="DI5" s="3" t="s">
        <v>34</v>
      </c>
      <c r="DJ5" s="3" t="s">
        <v>14</v>
      </c>
      <c r="DK5" s="3" t="s">
        <v>36</v>
      </c>
      <c r="DN5" s="3" t="s">
        <v>45</v>
      </c>
      <c r="DO5" s="3" t="s">
        <v>46</v>
      </c>
      <c r="DP5" s="3" t="s">
        <v>48</v>
      </c>
      <c r="DQ5" s="3" t="s">
        <v>49</v>
      </c>
      <c r="DR5" s="3" t="s">
        <v>50</v>
      </c>
      <c r="DS5" s="3" t="s">
        <v>51</v>
      </c>
      <c r="DT5" s="3" t="s">
        <v>48</v>
      </c>
      <c r="DU5" s="3" t="s">
        <v>49</v>
      </c>
      <c r="DV5" s="3" t="s">
        <v>34</v>
      </c>
      <c r="DW5" s="3" t="s">
        <v>14</v>
      </c>
      <c r="DX5" s="3" t="s">
        <v>36</v>
      </c>
      <c r="EA5" s="3" t="s">
        <v>45</v>
      </c>
      <c r="EB5" s="3" t="s">
        <v>46</v>
      </c>
      <c r="EC5" s="3" t="s">
        <v>48</v>
      </c>
      <c r="ED5" s="3" t="s">
        <v>49</v>
      </c>
      <c r="EE5" s="3" t="s">
        <v>50</v>
      </c>
      <c r="EF5" s="3" t="s">
        <v>51</v>
      </c>
      <c r="EG5" s="3" t="s">
        <v>48</v>
      </c>
      <c r="EH5" s="3" t="s">
        <v>49</v>
      </c>
      <c r="EI5" s="3" t="s">
        <v>34</v>
      </c>
      <c r="EJ5" s="3" t="s">
        <v>14</v>
      </c>
      <c r="EK5" s="3" t="s">
        <v>36</v>
      </c>
      <c r="EN5" s="3" t="s">
        <v>45</v>
      </c>
      <c r="EO5" s="3" t="s">
        <v>46</v>
      </c>
      <c r="EP5" s="3" t="s">
        <v>48</v>
      </c>
      <c r="EQ5" s="3" t="s">
        <v>49</v>
      </c>
      <c r="ER5" s="3" t="s">
        <v>50</v>
      </c>
      <c r="ES5" s="3" t="s">
        <v>51</v>
      </c>
      <c r="ET5" s="3" t="s">
        <v>48</v>
      </c>
      <c r="EU5" s="3" t="s">
        <v>49</v>
      </c>
      <c r="EV5" s="3" t="s">
        <v>34</v>
      </c>
      <c r="EW5" s="3" t="s">
        <v>14</v>
      </c>
      <c r="EX5" s="3" t="s">
        <v>36</v>
      </c>
      <c r="FA5" s="3" t="s">
        <v>45</v>
      </c>
      <c r="FB5" s="3" t="s">
        <v>46</v>
      </c>
      <c r="FC5" s="3" t="s">
        <v>48</v>
      </c>
      <c r="FD5" s="3" t="s">
        <v>49</v>
      </c>
      <c r="FE5" s="3" t="s">
        <v>50</v>
      </c>
      <c r="FF5" s="3" t="s">
        <v>51</v>
      </c>
      <c r="FG5" s="3" t="s">
        <v>48</v>
      </c>
      <c r="FH5" s="3" t="s">
        <v>49</v>
      </c>
      <c r="FI5" s="3" t="s">
        <v>34</v>
      </c>
      <c r="FJ5" s="3" t="s">
        <v>14</v>
      </c>
      <c r="FK5" s="3" t="s">
        <v>36</v>
      </c>
    </row>
    <row r="6" spans="1:167" x14ac:dyDescent="0.25">
      <c r="A6" s="18">
        <v>1</v>
      </c>
      <c r="B6" s="19" t="s">
        <v>58</v>
      </c>
      <c r="C6" s="20">
        <v>0</v>
      </c>
      <c r="D6" s="20">
        <v>0</v>
      </c>
      <c r="E6" s="19" t="s">
        <v>15</v>
      </c>
      <c r="F6" s="21">
        <f ca="1">IFERROR(MATCH(INDIRECT("B6"),'1.Items'!$B$2:$B$5, 0)," ")</f>
        <v>2</v>
      </c>
      <c r="G6" s="22">
        <f ca="1">IFERROR(IF(ISNUMBER(F6),C6+IF(E6="No",INDEX('1.Items'!D2:D5,F6),INDEX('1.Items'!E2:E5,F6))," ")," ")</f>
        <v>1</v>
      </c>
      <c r="H6" s="22">
        <f ca="1">IFERROR(IF(ISNUMBER(F6),D6+IF(E6="No",INDEX('1.Items'!E2:E5,F6),INDEX('1.Items'!D2:D5,F6))," ")," ")</f>
        <v>4</v>
      </c>
      <c r="I6" s="21" t="str">
        <f ca="1">IFERROR(IF(ISNUMBER(F6),INDEX('1.Items'!G2:G37,F6 )," ")," ")</f>
        <v>No</v>
      </c>
      <c r="J6" s="22">
        <f ca="1">IFERROR(IF(ISNUMBER(F6),INDEX('1.Items'!F2:F37,F6 )," ")," ")</f>
        <v>4</v>
      </c>
      <c r="K6" s="22">
        <f ca="1">IFERROR(IF(ISNUMBER(F6),INDEX('1.Items'!I2:I37,F6 )," ")," ")</f>
        <v>0</v>
      </c>
      <c r="N6" s="18">
        <v>1</v>
      </c>
      <c r="O6" s="19" t="s">
        <v>58</v>
      </c>
      <c r="P6" s="20">
        <v>0</v>
      </c>
      <c r="Q6" s="20">
        <v>0</v>
      </c>
      <c r="R6" s="19" t="s">
        <v>15</v>
      </c>
      <c r="S6" s="21">
        <f ca="1">IFERROR(MATCH(INDIRECT("O6"),'1.Items'!$B$2:$B$5, 0)," ")</f>
        <v>2</v>
      </c>
      <c r="T6" s="22">
        <f ca="1">IFERROR(IF(ISNUMBER(S6),P6+IF(R6="No",INDEX('1.Items'!D2:D5,S6),INDEX('1.Items'!E2:E5,S6))," ")," ")</f>
        <v>1</v>
      </c>
      <c r="U6" s="22">
        <f ca="1">IFERROR(IF(ISNUMBER(S6),Q6+IF(R6="No",INDEX('1.Items'!E2:E5,S6),INDEX('1.Items'!D2:D5,S6))," ")," ")</f>
        <v>4</v>
      </c>
      <c r="V6" s="21" t="str">
        <f ca="1">IFERROR(IF(ISNUMBER(S6),INDEX('1.Items'!G2:G37,S6 )," ")," ")</f>
        <v>No</v>
      </c>
      <c r="W6" s="22">
        <f ca="1">IFERROR(IF(ISNUMBER(S6),INDEX('1.Items'!F2:F37,S6 )," ")," ")</f>
        <v>4</v>
      </c>
      <c r="X6" s="22">
        <f ca="1">IFERROR(IF(ISNUMBER(S6),INDEX('1.Items'!I2:I37,S6 )," ")," ")</f>
        <v>0</v>
      </c>
      <c r="AA6" s="18">
        <v>1</v>
      </c>
      <c r="AB6" s="19" t="s">
        <v>57</v>
      </c>
      <c r="AC6" s="20">
        <v>0</v>
      </c>
      <c r="AD6" s="20">
        <v>0</v>
      </c>
      <c r="AE6" s="19" t="s">
        <v>15</v>
      </c>
      <c r="AF6" s="21">
        <f ca="1">IFERROR(MATCH(INDIRECT("AB6"),'1.Items'!$B$2:$B$5, 0)," ")</f>
        <v>1</v>
      </c>
      <c r="AG6" s="22">
        <f ca="1">IFERROR(IF(ISNUMBER(AF6),AC6+IF(AE6="No",INDEX('1.Items'!D2:D5,AF6),INDEX('1.Items'!E2:E5,AF6))," ")," ")</f>
        <v>1</v>
      </c>
      <c r="AH6" s="22">
        <f ca="1">IFERROR(IF(ISNUMBER(AF6),AD6+IF(AE6="No",INDEX('1.Items'!E2:E5,AF6),INDEX('1.Items'!D2:D5,AF6))," ")," ")</f>
        <v>3.5</v>
      </c>
      <c r="AI6" s="21" t="str">
        <f ca="1">IFERROR(IF(ISNUMBER(AF6),INDEX('1.Items'!G2:G37,AF6 )," ")," ")</f>
        <v>No</v>
      </c>
      <c r="AJ6" s="22">
        <f ca="1">IFERROR(IF(ISNUMBER(AF6),INDEX('1.Items'!F2:F37,AF6 )," ")," ")</f>
        <v>3.5</v>
      </c>
      <c r="AK6" s="22">
        <f ca="1">IFERROR(IF(ISNUMBER(AF6),INDEX('1.Items'!I2:I37,AF6 )," ")," ")</f>
        <v>0</v>
      </c>
      <c r="AN6" s="18">
        <v>1</v>
      </c>
      <c r="AO6" s="19" t="s">
        <v>58</v>
      </c>
      <c r="AP6" s="20">
        <v>0</v>
      </c>
      <c r="AQ6" s="20">
        <v>0</v>
      </c>
      <c r="AR6" s="19" t="s">
        <v>15</v>
      </c>
      <c r="AS6" s="21">
        <f ca="1">IFERROR(MATCH(INDIRECT("AO6"),'1.Items'!$B$2:$B$5, 0)," ")</f>
        <v>2</v>
      </c>
      <c r="AT6" s="22">
        <f ca="1">IFERROR(IF(ISNUMBER(AS6),AP6+IF(AR6="No",INDEX('1.Items'!D2:D5,AS6),INDEX('1.Items'!E2:E5,AS6))," ")," ")</f>
        <v>1</v>
      </c>
      <c r="AU6" s="22">
        <f ca="1">IFERROR(IF(ISNUMBER(AS6),AQ6+IF(AR6="No",INDEX('1.Items'!E2:E5,AS6),INDEX('1.Items'!D2:D5,AS6))," ")," ")</f>
        <v>4</v>
      </c>
      <c r="AV6" s="21" t="str">
        <f ca="1">IFERROR(IF(ISNUMBER(AS6),INDEX('1.Items'!G2:G37,AS6 )," ")," ")</f>
        <v>No</v>
      </c>
      <c r="AW6" s="22">
        <f ca="1">IFERROR(IF(ISNUMBER(AS6),INDEX('1.Items'!F2:F37,AS6 )," ")," ")</f>
        <v>4</v>
      </c>
      <c r="AX6" s="22">
        <f ca="1">IFERROR(IF(ISNUMBER(AS6),INDEX('1.Items'!I2:I37,AS6 )," ")," ")</f>
        <v>0</v>
      </c>
      <c r="BA6" s="18">
        <v>1</v>
      </c>
      <c r="BB6" s="19" t="s">
        <v>58</v>
      </c>
      <c r="BC6" s="20">
        <v>0</v>
      </c>
      <c r="BD6" s="20">
        <v>0</v>
      </c>
      <c r="BE6" s="19" t="s">
        <v>15</v>
      </c>
      <c r="BF6" s="21">
        <f ca="1">IFERROR(MATCH(INDIRECT("BB6"),'1.Items'!$B$2:$B$5, 0)," ")</f>
        <v>2</v>
      </c>
      <c r="BG6" s="22">
        <f ca="1">IFERROR(IF(ISNUMBER(BF6),BC6+IF(BE6="No",INDEX('1.Items'!D2:D5,BF6),INDEX('1.Items'!E2:E5,BF6))," ")," ")</f>
        <v>1</v>
      </c>
      <c r="BH6" s="22">
        <f ca="1">IFERROR(IF(ISNUMBER(BF6),BD6+IF(BE6="No",INDEX('1.Items'!E2:E5,BF6),INDEX('1.Items'!D2:D5,BF6))," ")," ")</f>
        <v>4</v>
      </c>
      <c r="BI6" s="21" t="str">
        <f ca="1">IFERROR(IF(ISNUMBER(BF6),INDEX('1.Items'!G2:G37,BF6 )," ")," ")</f>
        <v>No</v>
      </c>
      <c r="BJ6" s="22">
        <f ca="1">IFERROR(IF(ISNUMBER(BF6),INDEX('1.Items'!F2:F37,BF6 )," ")," ")</f>
        <v>4</v>
      </c>
      <c r="BK6" s="22">
        <f ca="1">IFERROR(IF(ISNUMBER(BF6),INDEX('1.Items'!I2:I37,BF6 )," ")," ")</f>
        <v>0</v>
      </c>
      <c r="BN6" s="18">
        <v>1</v>
      </c>
      <c r="BO6" s="19" t="s">
        <v>58</v>
      </c>
      <c r="BP6" s="20">
        <v>0</v>
      </c>
      <c r="BQ6" s="20">
        <v>0</v>
      </c>
      <c r="BR6" s="19" t="s">
        <v>15</v>
      </c>
      <c r="BS6" s="21">
        <f ca="1">IFERROR(MATCH(INDIRECT("BO6"),'1.Items'!$B$2:$B$5, 0)," ")</f>
        <v>2</v>
      </c>
      <c r="BT6" s="22">
        <f ca="1">IFERROR(IF(ISNUMBER(BS6),BP6+IF(BR6="No",INDEX('1.Items'!D2:D5,BS6),INDEX('1.Items'!E2:E5,BS6))," ")," ")</f>
        <v>1</v>
      </c>
      <c r="BU6" s="22">
        <f ca="1">IFERROR(IF(ISNUMBER(BS6),BQ6+IF(BR6="No",INDEX('1.Items'!E2:E5,BS6),INDEX('1.Items'!D2:D5,BS6))," ")," ")</f>
        <v>4</v>
      </c>
      <c r="BV6" s="21" t="str">
        <f ca="1">IFERROR(IF(ISNUMBER(BS6),INDEX('1.Items'!G2:G37,BS6 )," ")," ")</f>
        <v>No</v>
      </c>
      <c r="BW6" s="22">
        <f ca="1">IFERROR(IF(ISNUMBER(BS6),INDEX('1.Items'!F2:F37,BS6 )," ")," ")</f>
        <v>4</v>
      </c>
      <c r="BX6" s="22">
        <f ca="1">IFERROR(IF(ISNUMBER(BS6),INDEX('1.Items'!I2:I37,BS6 )," ")," ")</f>
        <v>0</v>
      </c>
      <c r="CA6" s="18">
        <v>1</v>
      </c>
      <c r="CB6" s="19" t="s">
        <v>58</v>
      </c>
      <c r="CC6" s="20">
        <v>0</v>
      </c>
      <c r="CD6" s="20">
        <v>0</v>
      </c>
      <c r="CE6" s="19" t="s">
        <v>15</v>
      </c>
      <c r="CF6" s="21">
        <f ca="1">IFERROR(MATCH(INDIRECT("CB6"),'1.Items'!$B$2:$B$5, 0)," ")</f>
        <v>2</v>
      </c>
      <c r="CG6" s="22">
        <f ca="1">IFERROR(IF(ISNUMBER(CF6),CC6+IF(CE6="No",INDEX('1.Items'!D2:D5,CF6),INDEX('1.Items'!E2:E5,CF6))," ")," ")</f>
        <v>1</v>
      </c>
      <c r="CH6" s="22">
        <f ca="1">IFERROR(IF(ISNUMBER(CF6),CD6+IF(CE6="No",INDEX('1.Items'!E2:E5,CF6),INDEX('1.Items'!D2:D5,CF6))," ")," ")</f>
        <v>4</v>
      </c>
      <c r="CI6" s="21" t="str">
        <f ca="1">IFERROR(IF(ISNUMBER(CF6),INDEX('1.Items'!G2:G37,CF6 )," ")," ")</f>
        <v>No</v>
      </c>
      <c r="CJ6" s="22">
        <f ca="1">IFERROR(IF(ISNUMBER(CF6),INDEX('1.Items'!F2:F37,CF6 )," ")," ")</f>
        <v>4</v>
      </c>
      <c r="CK6" s="22">
        <f ca="1">IFERROR(IF(ISNUMBER(CF6),INDEX('1.Items'!I2:I37,CF6 )," ")," ")</f>
        <v>0</v>
      </c>
      <c r="CN6" s="18">
        <v>1</v>
      </c>
      <c r="CO6" s="19" t="s">
        <v>60</v>
      </c>
      <c r="CP6" s="20">
        <v>0</v>
      </c>
      <c r="CQ6" s="20">
        <v>0</v>
      </c>
      <c r="CR6" s="19" t="s">
        <v>15</v>
      </c>
      <c r="CS6" s="21">
        <f ca="1">IFERROR(MATCH(INDIRECT("CO6"),'1.Items'!$B$2:$B$5, 0)," ")</f>
        <v>4</v>
      </c>
      <c r="CT6" s="22">
        <f ca="1">IFERROR(IF(ISNUMBER(CS6),CP6+IF(CR6="No",INDEX('1.Items'!D2:D5,CS6),INDEX('1.Items'!E2:E5,CS6))," ")," ")</f>
        <v>1</v>
      </c>
      <c r="CU6" s="22">
        <f ca="1">IFERROR(IF(ISNUMBER(CS6),CQ6+IF(CR6="No",INDEX('1.Items'!E2:E5,CS6),INDEX('1.Items'!D2:D5,CS6))," ")," ")</f>
        <v>0.5</v>
      </c>
      <c r="CV6" s="21" t="str">
        <f ca="1">IFERROR(IF(ISNUMBER(CS6),INDEX('1.Items'!G2:G37,CS6 )," ")," ")</f>
        <v>No</v>
      </c>
      <c r="CW6" s="22">
        <f ca="1">IFERROR(IF(ISNUMBER(CS6),INDEX('1.Items'!F2:F37,CS6 )," ")," ")</f>
        <v>0.5</v>
      </c>
      <c r="CX6" s="22">
        <f ca="1">IFERROR(IF(ISNUMBER(CS6),INDEX('1.Items'!I2:I37,CS6 )," ")," ")</f>
        <v>0</v>
      </c>
      <c r="DA6" s="18">
        <v>1</v>
      </c>
      <c r="DB6" s="19" t="s">
        <v>59</v>
      </c>
      <c r="DC6" s="20">
        <v>0</v>
      </c>
      <c r="DD6" s="20">
        <v>0</v>
      </c>
      <c r="DE6" s="19" t="s">
        <v>15</v>
      </c>
      <c r="DF6" s="21">
        <f ca="1">IFERROR(MATCH(INDIRECT("DB6"),'1.Items'!$B$2:$B$5, 0)," ")</f>
        <v>3</v>
      </c>
      <c r="DG6" s="22">
        <f ca="1">IFERROR(IF(ISNUMBER(DF6),DC6+IF(DE6="No",INDEX('1.Items'!D2:D5,DF6),INDEX('1.Items'!E2:E5,DF6))," ")," ")</f>
        <v>1</v>
      </c>
      <c r="DH6" s="22">
        <f ca="1">IFERROR(IF(ISNUMBER(DF6),DD6+IF(DE6="No",INDEX('1.Items'!E2:E5,DF6),INDEX('1.Items'!D2:D5,DF6))," ")," ")</f>
        <v>2</v>
      </c>
      <c r="DI6" s="21" t="str">
        <f ca="1">IFERROR(IF(ISNUMBER(DF6),INDEX('1.Items'!G2:G37,DF6 )," ")," ")</f>
        <v>No</v>
      </c>
      <c r="DJ6" s="22">
        <f ca="1">IFERROR(IF(ISNUMBER(DF6),INDEX('1.Items'!F2:F37,DF6 )," ")," ")</f>
        <v>2</v>
      </c>
      <c r="DK6" s="22">
        <f ca="1">IFERROR(IF(ISNUMBER(DF6),INDEX('1.Items'!I2:I37,DF6 )," ")," ")</f>
        <v>0</v>
      </c>
      <c r="DN6" s="18">
        <v>1</v>
      </c>
      <c r="DO6" s="19" t="s">
        <v>59</v>
      </c>
      <c r="DP6" s="20">
        <v>0</v>
      </c>
      <c r="DQ6" s="20">
        <v>0</v>
      </c>
      <c r="DR6" s="19" t="s">
        <v>15</v>
      </c>
      <c r="DS6" s="21">
        <f ca="1">IFERROR(MATCH(INDIRECT("DO6"),'1.Items'!$B$2:$B$5, 0)," ")</f>
        <v>3</v>
      </c>
      <c r="DT6" s="22">
        <f ca="1">IFERROR(IF(ISNUMBER(DS6),DP6+IF(DR6="No",INDEX('1.Items'!D2:D5,DS6),INDEX('1.Items'!E2:E5,DS6))," ")," ")</f>
        <v>1</v>
      </c>
      <c r="DU6" s="22">
        <f ca="1">IFERROR(IF(ISNUMBER(DS6),DQ6+IF(DR6="No",INDEX('1.Items'!E2:E5,DS6),INDEX('1.Items'!D2:D5,DS6))," ")," ")</f>
        <v>2</v>
      </c>
      <c r="DV6" s="21" t="str">
        <f ca="1">IFERROR(IF(ISNUMBER(DS6),INDEX('1.Items'!G2:G37,DS6 )," ")," ")</f>
        <v>No</v>
      </c>
      <c r="DW6" s="22">
        <f ca="1">IFERROR(IF(ISNUMBER(DS6),INDEX('1.Items'!F2:F37,DS6 )," ")," ")</f>
        <v>2</v>
      </c>
      <c r="DX6" s="22">
        <f ca="1">IFERROR(IF(ISNUMBER(DS6),INDEX('1.Items'!I2:I37,DS6 )," ")," ")</f>
        <v>0</v>
      </c>
      <c r="EA6" s="18">
        <v>1</v>
      </c>
      <c r="EB6" s="19"/>
      <c r="EC6" s="20"/>
      <c r="ED6" s="20"/>
      <c r="EE6" s="19"/>
      <c r="EF6" s="21" t="str">
        <f ca="1">IFERROR(MATCH(INDIRECT("EB6"),'1.Items'!$B$2:$B$5, 0)," ")</f>
        <v xml:space="preserve"> </v>
      </c>
      <c r="EG6" s="22" t="str">
        <f ca="1">IFERROR(IF(ISNUMBER(EF6),EC6+IF(EE6="No",INDEX('1.Items'!D2:D5,EF6),INDEX('1.Items'!E2:E5,EF6))," ")," ")</f>
        <v xml:space="preserve"> </v>
      </c>
      <c r="EH6" s="22" t="str">
        <f ca="1">IFERROR(IF(ISNUMBER(EF6),ED6+IF(EE6="No",INDEX('1.Items'!E2:E5,EF6),INDEX('1.Items'!D2:D5,EF6))," ")," ")</f>
        <v xml:space="preserve"> </v>
      </c>
      <c r="EI6" s="21" t="str">
        <f ca="1">IFERROR(IF(ISNUMBER(EF6),INDEX('1.Items'!G2:G37,EF6 )," ")," ")</f>
        <v xml:space="preserve"> </v>
      </c>
      <c r="EJ6" s="22" t="str">
        <f ca="1">IFERROR(IF(ISNUMBER(EF6),INDEX('1.Items'!F2:F37,EF6 )," ")," ")</f>
        <v xml:space="preserve"> </v>
      </c>
      <c r="EK6" s="22" t="str">
        <f ca="1">IFERROR(IF(ISNUMBER(EF6),INDEX('1.Items'!I2:I37,EF6 )," ")," ")</f>
        <v xml:space="preserve"> </v>
      </c>
      <c r="EN6" s="18">
        <v>1</v>
      </c>
      <c r="EO6" s="19"/>
      <c r="EP6" s="20"/>
      <c r="EQ6" s="20"/>
      <c r="ER6" s="19"/>
      <c r="ES6" s="21" t="str">
        <f ca="1">IFERROR(MATCH(INDIRECT("EO6"),'1.Items'!$B$2:$B$5, 0)," ")</f>
        <v xml:space="preserve"> </v>
      </c>
      <c r="ET6" s="22" t="str">
        <f ca="1">IFERROR(IF(ISNUMBER(ES6),EP6+IF(ER6="No",INDEX('1.Items'!D2:D5,ES6),INDEX('1.Items'!E2:E5,ES6))," ")," ")</f>
        <v xml:space="preserve"> </v>
      </c>
      <c r="EU6" s="22" t="str">
        <f ca="1">IFERROR(IF(ISNUMBER(ES6),EQ6+IF(ER6="No",INDEX('1.Items'!E2:E5,ES6),INDEX('1.Items'!D2:D5,ES6))," ")," ")</f>
        <v xml:space="preserve"> </v>
      </c>
      <c r="EV6" s="21" t="str">
        <f ca="1">IFERROR(IF(ISNUMBER(ES6),INDEX('1.Items'!G2:G37,ES6 )," ")," ")</f>
        <v xml:space="preserve"> </v>
      </c>
      <c r="EW6" s="22" t="str">
        <f ca="1">IFERROR(IF(ISNUMBER(ES6),INDEX('1.Items'!F2:F37,ES6 )," ")," ")</f>
        <v xml:space="preserve"> </v>
      </c>
      <c r="EX6" s="22" t="str">
        <f ca="1">IFERROR(IF(ISNUMBER(ES6),INDEX('1.Items'!I2:I37,ES6 )," ")," ")</f>
        <v xml:space="preserve"> </v>
      </c>
      <c r="FA6" s="18">
        <v>1</v>
      </c>
      <c r="FB6" s="19"/>
      <c r="FC6" s="20"/>
      <c r="FD6" s="20"/>
      <c r="FE6" s="19"/>
      <c r="FF6" s="21" t="str">
        <f ca="1">IFERROR(MATCH(INDIRECT("FB6"),'1.Items'!$B$2:$B$5, 0)," ")</f>
        <v xml:space="preserve"> </v>
      </c>
      <c r="FG6" s="22" t="str">
        <f ca="1">IFERROR(IF(ISNUMBER(FF6),FC6+IF(FE6="No",INDEX('1.Items'!D2:D5,FF6),INDEX('1.Items'!E2:E5,FF6))," ")," ")</f>
        <v xml:space="preserve"> </v>
      </c>
      <c r="FH6" s="22" t="str">
        <f ca="1">IFERROR(IF(ISNUMBER(FF6),FD6+IF(FE6="No",INDEX('1.Items'!E2:E5,FF6),INDEX('1.Items'!D2:D5,FF6))," ")," ")</f>
        <v xml:space="preserve"> </v>
      </c>
      <c r="FI6" s="21" t="str">
        <f ca="1">IFERROR(IF(ISNUMBER(FF6),INDEX('1.Items'!G2:G37,FF6 )," ")," ")</f>
        <v xml:space="preserve"> </v>
      </c>
      <c r="FJ6" s="22" t="str">
        <f ca="1">IFERROR(IF(ISNUMBER(FF6),INDEX('1.Items'!F2:F37,FF6 )," ")," ")</f>
        <v xml:space="preserve"> </v>
      </c>
      <c r="FK6" s="22" t="str">
        <f ca="1">IFERROR(IF(ISNUMBER(FF6),INDEX('1.Items'!I2:I37,FF6 )," ")," ")</f>
        <v xml:space="preserve"> </v>
      </c>
    </row>
    <row r="7" spans="1:167" x14ac:dyDescent="0.25">
      <c r="A7" s="12">
        <v>2</v>
      </c>
      <c r="B7" s="26" t="s">
        <v>57</v>
      </c>
      <c r="C7" s="27">
        <v>0</v>
      </c>
      <c r="D7" s="27">
        <v>4</v>
      </c>
      <c r="E7" s="26" t="s">
        <v>15</v>
      </c>
      <c r="F7" s="28">
        <f ca="1">IFERROR(MATCH(INDIRECT("B7"),'1.Items'!$B$2:$B$5, 0)," ")</f>
        <v>1</v>
      </c>
      <c r="G7" s="15">
        <f ca="1">IFERROR(IF(ISNUMBER(F7),C7+IF(E7="No",INDEX('1.Items'!D2:D5,F7),INDEX('1.Items'!E2:E5,F7))," ")," ")</f>
        <v>1</v>
      </c>
      <c r="H7" s="15">
        <f ca="1">IFERROR(IF(ISNUMBER(F7),D7+IF(E7="No",INDEX('1.Items'!E2:E5,F7),INDEX('1.Items'!D2:D5,F7))," ")," ")</f>
        <v>7.5</v>
      </c>
      <c r="I7" s="28" t="str">
        <f ca="1">IFERROR(IF(ISNUMBER(F7),INDEX('1.Items'!G2:G37,F7 )," ")," ")</f>
        <v>No</v>
      </c>
      <c r="J7" s="15">
        <f ca="1">IFERROR(IF(ISNUMBER(F7),INDEX('1.Items'!F2:F37,F7 )," ")," ")</f>
        <v>3.5</v>
      </c>
      <c r="K7" s="15">
        <f ca="1">IFERROR(IF(ISNUMBER(F7),INDEX('1.Items'!I2:I37,F7 )," ")," ")</f>
        <v>0</v>
      </c>
      <c r="N7" s="12">
        <v>2</v>
      </c>
      <c r="O7" s="26" t="s">
        <v>57</v>
      </c>
      <c r="P7" s="27">
        <v>0</v>
      </c>
      <c r="Q7" s="27">
        <v>4</v>
      </c>
      <c r="R7" s="26" t="s">
        <v>15</v>
      </c>
      <c r="S7" s="28">
        <f ca="1">IFERROR(MATCH(INDIRECT("O7"),'1.Items'!$B$2:$B$5, 0)," ")</f>
        <v>1</v>
      </c>
      <c r="T7" s="15">
        <f ca="1">IFERROR(IF(ISNUMBER(S7),P7+IF(R7="No",INDEX('1.Items'!D2:D5,S7),INDEX('1.Items'!E2:E5,S7))," ")," ")</f>
        <v>1</v>
      </c>
      <c r="U7" s="15">
        <f ca="1">IFERROR(IF(ISNUMBER(S7),Q7+IF(R7="No",INDEX('1.Items'!E2:E5,S7),INDEX('1.Items'!D2:D5,S7))," ")," ")</f>
        <v>7.5</v>
      </c>
      <c r="V7" s="28" t="str">
        <f ca="1">IFERROR(IF(ISNUMBER(S7),INDEX('1.Items'!G2:G37,S7 )," ")," ")</f>
        <v>No</v>
      </c>
      <c r="W7" s="15">
        <f ca="1">IFERROR(IF(ISNUMBER(S7),INDEX('1.Items'!F2:F37,S7 )," ")," ")</f>
        <v>3.5</v>
      </c>
      <c r="X7" s="15">
        <f ca="1">IFERROR(IF(ISNUMBER(S7),INDEX('1.Items'!I2:I37,S7 )," ")," ")</f>
        <v>0</v>
      </c>
      <c r="AA7" s="12">
        <v>2</v>
      </c>
      <c r="AB7" s="26" t="s">
        <v>58</v>
      </c>
      <c r="AC7" s="27">
        <v>0</v>
      </c>
      <c r="AD7" s="27">
        <v>3.5</v>
      </c>
      <c r="AE7" s="26" t="s">
        <v>15</v>
      </c>
      <c r="AF7" s="28">
        <f ca="1">IFERROR(MATCH(INDIRECT("AB7"),'1.Items'!$B$2:$B$5, 0)," ")</f>
        <v>2</v>
      </c>
      <c r="AG7" s="15">
        <f ca="1">IFERROR(IF(ISNUMBER(AF7),AC7+IF(AE7="No",INDEX('1.Items'!D2:D5,AF7),INDEX('1.Items'!E2:E5,AF7))," ")," ")</f>
        <v>1</v>
      </c>
      <c r="AH7" s="15">
        <f ca="1">IFERROR(IF(ISNUMBER(AF7),AD7+IF(AE7="No",INDEX('1.Items'!E2:E5,AF7),INDEX('1.Items'!D2:D5,AF7))," ")," ")</f>
        <v>7.5</v>
      </c>
      <c r="AI7" s="28" t="str">
        <f ca="1">IFERROR(IF(ISNUMBER(AF7),INDEX('1.Items'!G2:G37,AF7 )," ")," ")</f>
        <v>No</v>
      </c>
      <c r="AJ7" s="15">
        <f ca="1">IFERROR(IF(ISNUMBER(AF7),INDEX('1.Items'!F2:F37,AF7 )," ")," ")</f>
        <v>4</v>
      </c>
      <c r="AK7" s="15">
        <f ca="1">IFERROR(IF(ISNUMBER(AF7),INDEX('1.Items'!I2:I37,AF7 )," ")," ")</f>
        <v>0</v>
      </c>
      <c r="AN7" s="12">
        <v>2</v>
      </c>
      <c r="AO7" s="26" t="s">
        <v>57</v>
      </c>
      <c r="AP7" s="27">
        <v>0</v>
      </c>
      <c r="AQ7" s="27">
        <v>4</v>
      </c>
      <c r="AR7" s="26" t="s">
        <v>15</v>
      </c>
      <c r="AS7" s="28">
        <f ca="1">IFERROR(MATCH(INDIRECT("AO7"),'1.Items'!$B$2:$B$5, 0)," ")</f>
        <v>1</v>
      </c>
      <c r="AT7" s="15">
        <f ca="1">IFERROR(IF(ISNUMBER(AS7),AP7+IF(AR7="No",INDEX('1.Items'!D2:D5,AS7),INDEX('1.Items'!E2:E5,AS7))," ")," ")</f>
        <v>1</v>
      </c>
      <c r="AU7" s="15">
        <f ca="1">IFERROR(IF(ISNUMBER(AS7),AQ7+IF(AR7="No",INDEX('1.Items'!E2:E5,AS7),INDEX('1.Items'!D2:D5,AS7))," ")," ")</f>
        <v>7.5</v>
      </c>
      <c r="AV7" s="28" t="str">
        <f ca="1">IFERROR(IF(ISNUMBER(AS7),INDEX('1.Items'!G2:G37,AS7 )," ")," ")</f>
        <v>No</v>
      </c>
      <c r="AW7" s="15">
        <f ca="1">IFERROR(IF(ISNUMBER(AS7),INDEX('1.Items'!F2:F37,AS7 )," ")," ")</f>
        <v>3.5</v>
      </c>
      <c r="AX7" s="15">
        <f ca="1">IFERROR(IF(ISNUMBER(AS7),INDEX('1.Items'!I2:I37,AS7 )," ")," ")</f>
        <v>0</v>
      </c>
      <c r="BA7" s="12">
        <v>2</v>
      </c>
      <c r="BB7" s="26" t="s">
        <v>57</v>
      </c>
      <c r="BC7" s="27">
        <v>0</v>
      </c>
      <c r="BD7" s="27">
        <v>4</v>
      </c>
      <c r="BE7" s="26" t="s">
        <v>15</v>
      </c>
      <c r="BF7" s="28">
        <f ca="1">IFERROR(MATCH(INDIRECT("BB7"),'1.Items'!$B$2:$B$5, 0)," ")</f>
        <v>1</v>
      </c>
      <c r="BG7" s="15">
        <f ca="1">IFERROR(IF(ISNUMBER(BF7),BC7+IF(BE7="No",INDEX('1.Items'!D2:D5,BF7),INDEX('1.Items'!E2:E5,BF7))," ")," ")</f>
        <v>1</v>
      </c>
      <c r="BH7" s="15">
        <f ca="1">IFERROR(IF(ISNUMBER(BF7),BD7+IF(BE7="No",INDEX('1.Items'!E2:E5,BF7),INDEX('1.Items'!D2:D5,BF7))," ")," ")</f>
        <v>7.5</v>
      </c>
      <c r="BI7" s="28" t="str">
        <f ca="1">IFERROR(IF(ISNUMBER(BF7),INDEX('1.Items'!G2:G37,BF7 )," ")," ")</f>
        <v>No</v>
      </c>
      <c r="BJ7" s="15">
        <f ca="1">IFERROR(IF(ISNUMBER(BF7),INDEX('1.Items'!F2:F37,BF7 )," ")," ")</f>
        <v>3.5</v>
      </c>
      <c r="BK7" s="15">
        <f ca="1">IFERROR(IF(ISNUMBER(BF7),INDEX('1.Items'!I2:I37,BF7 )," ")," ")</f>
        <v>0</v>
      </c>
      <c r="BN7" s="12">
        <v>2</v>
      </c>
      <c r="BO7" s="26" t="s">
        <v>57</v>
      </c>
      <c r="BP7" s="27">
        <v>0</v>
      </c>
      <c r="BQ7" s="27">
        <v>4</v>
      </c>
      <c r="BR7" s="26" t="s">
        <v>15</v>
      </c>
      <c r="BS7" s="28">
        <f ca="1">IFERROR(MATCH(INDIRECT("BO7"),'1.Items'!$B$2:$B$5, 0)," ")</f>
        <v>1</v>
      </c>
      <c r="BT7" s="15">
        <f ca="1">IFERROR(IF(ISNUMBER(BS7),BP7+IF(BR7="No",INDEX('1.Items'!D2:D5,BS7),INDEX('1.Items'!E2:E5,BS7))," ")," ")</f>
        <v>1</v>
      </c>
      <c r="BU7" s="15">
        <f ca="1">IFERROR(IF(ISNUMBER(BS7),BQ7+IF(BR7="No",INDEX('1.Items'!E2:E5,BS7),INDEX('1.Items'!D2:D5,BS7))," ")," ")</f>
        <v>7.5</v>
      </c>
      <c r="BV7" s="28" t="str">
        <f ca="1">IFERROR(IF(ISNUMBER(BS7),INDEX('1.Items'!G2:G37,BS7 )," ")," ")</f>
        <v>No</v>
      </c>
      <c r="BW7" s="15">
        <f ca="1">IFERROR(IF(ISNUMBER(BS7),INDEX('1.Items'!F2:F37,BS7 )," ")," ")</f>
        <v>3.5</v>
      </c>
      <c r="BX7" s="15">
        <f ca="1">IFERROR(IF(ISNUMBER(BS7),INDEX('1.Items'!I2:I37,BS7 )," ")," ")</f>
        <v>0</v>
      </c>
      <c r="CA7" s="12">
        <v>2</v>
      </c>
      <c r="CB7" s="26" t="s">
        <v>59</v>
      </c>
      <c r="CC7" s="27">
        <v>0</v>
      </c>
      <c r="CD7" s="27">
        <v>4</v>
      </c>
      <c r="CE7" s="26" t="s">
        <v>15</v>
      </c>
      <c r="CF7" s="28">
        <f ca="1">IFERROR(MATCH(INDIRECT("CB7"),'1.Items'!$B$2:$B$5, 0)," ")</f>
        <v>3</v>
      </c>
      <c r="CG7" s="15">
        <f ca="1">IFERROR(IF(ISNUMBER(CF7),CC7+IF(CE7="No",INDEX('1.Items'!D2:D5,CF7),INDEX('1.Items'!E2:E5,CF7))," ")," ")</f>
        <v>1</v>
      </c>
      <c r="CH7" s="15">
        <f ca="1">IFERROR(IF(ISNUMBER(CF7),CD7+IF(CE7="No",INDEX('1.Items'!E2:E5,CF7),INDEX('1.Items'!D2:D5,CF7))," ")," ")</f>
        <v>6</v>
      </c>
      <c r="CI7" s="28" t="str">
        <f ca="1">IFERROR(IF(ISNUMBER(CF7),INDEX('1.Items'!G2:G37,CF7 )," ")," ")</f>
        <v>No</v>
      </c>
      <c r="CJ7" s="15">
        <f ca="1">IFERROR(IF(ISNUMBER(CF7),INDEX('1.Items'!F2:F37,CF7 )," ")," ")</f>
        <v>2</v>
      </c>
      <c r="CK7" s="15">
        <f ca="1">IFERROR(IF(ISNUMBER(CF7),INDEX('1.Items'!I2:I37,CF7 )," ")," ")</f>
        <v>0</v>
      </c>
      <c r="CN7" s="12">
        <v>2</v>
      </c>
      <c r="CO7" s="26" t="s">
        <v>60</v>
      </c>
      <c r="CP7" s="27">
        <v>0</v>
      </c>
      <c r="CQ7" s="27">
        <v>0.5</v>
      </c>
      <c r="CR7" s="26" t="s">
        <v>15</v>
      </c>
      <c r="CS7" s="28">
        <f ca="1">IFERROR(MATCH(INDIRECT("CO7"),'1.Items'!$B$2:$B$5, 0)," ")</f>
        <v>4</v>
      </c>
      <c r="CT7" s="15">
        <f ca="1">IFERROR(IF(ISNUMBER(CS7),CP7+IF(CR7="No",INDEX('1.Items'!D2:D5,CS7),INDEX('1.Items'!E2:E5,CS7))," ")," ")</f>
        <v>1</v>
      </c>
      <c r="CU7" s="15">
        <f ca="1">IFERROR(IF(ISNUMBER(CS7),CQ7+IF(CR7="No",INDEX('1.Items'!E2:E5,CS7),INDEX('1.Items'!D2:D5,CS7))," ")," ")</f>
        <v>1</v>
      </c>
      <c r="CV7" s="28" t="str">
        <f ca="1">IFERROR(IF(ISNUMBER(CS7),INDEX('1.Items'!G2:G37,CS7 )," ")," ")</f>
        <v>No</v>
      </c>
      <c r="CW7" s="15">
        <f ca="1">IFERROR(IF(ISNUMBER(CS7),INDEX('1.Items'!F2:F37,CS7 )," ")," ")</f>
        <v>0.5</v>
      </c>
      <c r="CX7" s="15">
        <f ca="1">IFERROR(IF(ISNUMBER(CS7),INDEX('1.Items'!I2:I37,CS7 )," ")," ")</f>
        <v>0</v>
      </c>
      <c r="DA7" s="12">
        <v>2</v>
      </c>
      <c r="DB7" s="26"/>
      <c r="DC7" s="27"/>
      <c r="DD7" s="27"/>
      <c r="DE7" s="26"/>
      <c r="DF7" s="28" t="str">
        <f ca="1">IFERROR(MATCH(INDIRECT("DB7"),'1.Items'!$B$2:$B$5, 0)," ")</f>
        <v xml:space="preserve"> </v>
      </c>
      <c r="DG7" s="15" t="str">
        <f ca="1">IFERROR(IF(ISNUMBER(DF7),DC7+IF(DE7="No",INDEX('1.Items'!D2:D5,DF7),INDEX('1.Items'!E2:E5,DF7))," ")," ")</f>
        <v xml:space="preserve"> </v>
      </c>
      <c r="DH7" s="15" t="str">
        <f ca="1">IFERROR(IF(ISNUMBER(DF7),DD7+IF(DE7="No",INDEX('1.Items'!E2:E5,DF7),INDEX('1.Items'!D2:D5,DF7))," ")," ")</f>
        <v xml:space="preserve"> </v>
      </c>
      <c r="DI7" s="28" t="str">
        <f ca="1">IFERROR(IF(ISNUMBER(DF7),INDEX('1.Items'!G2:G37,DF7 )," ")," ")</f>
        <v xml:space="preserve"> </v>
      </c>
      <c r="DJ7" s="15" t="str">
        <f ca="1">IFERROR(IF(ISNUMBER(DF7),INDEX('1.Items'!F2:F37,DF7 )," ")," ")</f>
        <v xml:space="preserve"> </v>
      </c>
      <c r="DK7" s="15" t="str">
        <f ca="1">IFERROR(IF(ISNUMBER(DF7),INDEX('1.Items'!I2:I37,DF7 )," ")," ")</f>
        <v xml:space="preserve"> </v>
      </c>
      <c r="DN7" s="12">
        <v>2</v>
      </c>
      <c r="DO7" s="26"/>
      <c r="DP7" s="27"/>
      <c r="DQ7" s="27"/>
      <c r="DR7" s="26"/>
      <c r="DS7" s="28" t="str">
        <f ca="1">IFERROR(MATCH(INDIRECT("DO7"),'1.Items'!$B$2:$B$5, 0)," ")</f>
        <v xml:space="preserve"> </v>
      </c>
      <c r="DT7" s="15" t="str">
        <f ca="1">IFERROR(IF(ISNUMBER(DS7),DP7+IF(DR7="No",INDEX('1.Items'!D2:D5,DS7),INDEX('1.Items'!E2:E5,DS7))," ")," ")</f>
        <v xml:space="preserve"> </v>
      </c>
      <c r="DU7" s="15" t="str">
        <f ca="1">IFERROR(IF(ISNUMBER(DS7),DQ7+IF(DR7="No",INDEX('1.Items'!E2:E5,DS7),INDEX('1.Items'!D2:D5,DS7))," ")," ")</f>
        <v xml:space="preserve"> </v>
      </c>
      <c r="DV7" s="28" t="str">
        <f ca="1">IFERROR(IF(ISNUMBER(DS7),INDEX('1.Items'!G2:G37,DS7 )," ")," ")</f>
        <v xml:space="preserve"> </v>
      </c>
      <c r="DW7" s="15" t="str">
        <f ca="1">IFERROR(IF(ISNUMBER(DS7),INDEX('1.Items'!F2:F37,DS7 )," ")," ")</f>
        <v xml:space="preserve"> </v>
      </c>
      <c r="DX7" s="15" t="str">
        <f ca="1">IFERROR(IF(ISNUMBER(DS7),INDEX('1.Items'!I2:I37,DS7 )," ")," ")</f>
        <v xml:space="preserve"> </v>
      </c>
      <c r="EA7" s="12">
        <v>2</v>
      </c>
      <c r="EB7" s="26"/>
      <c r="EC7" s="27"/>
      <c r="ED7" s="27"/>
      <c r="EE7" s="26"/>
      <c r="EF7" s="28" t="str">
        <f ca="1">IFERROR(MATCH(INDIRECT("EB7"),'1.Items'!$B$2:$B$5, 0)," ")</f>
        <v xml:space="preserve"> </v>
      </c>
      <c r="EG7" s="15" t="str">
        <f ca="1">IFERROR(IF(ISNUMBER(EF7),EC7+IF(EE7="No",INDEX('1.Items'!D2:D5,EF7),INDEX('1.Items'!E2:E5,EF7))," ")," ")</f>
        <v xml:space="preserve"> </v>
      </c>
      <c r="EH7" s="15" t="str">
        <f ca="1">IFERROR(IF(ISNUMBER(EF7),ED7+IF(EE7="No",INDEX('1.Items'!E2:E5,EF7),INDEX('1.Items'!D2:D5,EF7))," ")," ")</f>
        <v xml:space="preserve"> </v>
      </c>
      <c r="EI7" s="28" t="str">
        <f ca="1">IFERROR(IF(ISNUMBER(EF7),INDEX('1.Items'!G2:G37,EF7 )," ")," ")</f>
        <v xml:space="preserve"> </v>
      </c>
      <c r="EJ7" s="15" t="str">
        <f ca="1">IFERROR(IF(ISNUMBER(EF7),INDEX('1.Items'!F2:F37,EF7 )," ")," ")</f>
        <v xml:space="preserve"> </v>
      </c>
      <c r="EK7" s="15" t="str">
        <f ca="1">IFERROR(IF(ISNUMBER(EF7),INDEX('1.Items'!I2:I37,EF7 )," ")," ")</f>
        <v xml:space="preserve"> </v>
      </c>
      <c r="EN7" s="12">
        <v>2</v>
      </c>
      <c r="EO7" s="26"/>
      <c r="EP7" s="27"/>
      <c r="EQ7" s="27"/>
      <c r="ER7" s="26"/>
      <c r="ES7" s="28" t="str">
        <f ca="1">IFERROR(MATCH(INDIRECT("EO7"),'1.Items'!$B$2:$B$5, 0)," ")</f>
        <v xml:space="preserve"> </v>
      </c>
      <c r="ET7" s="15" t="str">
        <f ca="1">IFERROR(IF(ISNUMBER(ES7),EP7+IF(ER7="No",INDEX('1.Items'!D2:D5,ES7),INDEX('1.Items'!E2:E5,ES7))," ")," ")</f>
        <v xml:space="preserve"> </v>
      </c>
      <c r="EU7" s="15" t="str">
        <f ca="1">IFERROR(IF(ISNUMBER(ES7),EQ7+IF(ER7="No",INDEX('1.Items'!E2:E5,ES7),INDEX('1.Items'!D2:D5,ES7))," ")," ")</f>
        <v xml:space="preserve"> </v>
      </c>
      <c r="EV7" s="28" t="str">
        <f ca="1">IFERROR(IF(ISNUMBER(ES7),INDEX('1.Items'!G2:G37,ES7 )," ")," ")</f>
        <v xml:space="preserve"> </v>
      </c>
      <c r="EW7" s="15" t="str">
        <f ca="1">IFERROR(IF(ISNUMBER(ES7),INDEX('1.Items'!F2:F37,ES7 )," ")," ")</f>
        <v xml:space="preserve"> </v>
      </c>
      <c r="EX7" s="15" t="str">
        <f ca="1">IFERROR(IF(ISNUMBER(ES7),INDEX('1.Items'!I2:I37,ES7 )," ")," ")</f>
        <v xml:space="preserve"> </v>
      </c>
      <c r="FA7" s="12">
        <v>2</v>
      </c>
      <c r="FB7" s="26"/>
      <c r="FC7" s="27"/>
      <c r="FD7" s="27"/>
      <c r="FE7" s="26"/>
      <c r="FF7" s="28" t="str">
        <f ca="1">IFERROR(MATCH(INDIRECT("FB7"),'1.Items'!$B$2:$B$5, 0)," ")</f>
        <v xml:space="preserve"> </v>
      </c>
      <c r="FG7" s="15" t="str">
        <f ca="1">IFERROR(IF(ISNUMBER(FF7),FC7+IF(FE7="No",INDEX('1.Items'!D2:D5,FF7),INDEX('1.Items'!E2:E5,FF7))," ")," ")</f>
        <v xml:space="preserve"> </v>
      </c>
      <c r="FH7" s="15" t="str">
        <f ca="1">IFERROR(IF(ISNUMBER(FF7),FD7+IF(FE7="No",INDEX('1.Items'!E2:E5,FF7),INDEX('1.Items'!D2:D5,FF7))," ")," ")</f>
        <v xml:space="preserve"> </v>
      </c>
      <c r="FI7" s="28" t="str">
        <f ca="1">IFERROR(IF(ISNUMBER(FF7),INDEX('1.Items'!G2:G37,FF7 )," ")," ")</f>
        <v xml:space="preserve"> </v>
      </c>
      <c r="FJ7" s="15" t="str">
        <f ca="1">IFERROR(IF(ISNUMBER(FF7),INDEX('1.Items'!F2:F37,FF7 )," ")," ")</f>
        <v xml:space="preserve"> </v>
      </c>
      <c r="FK7" s="15" t="str">
        <f ca="1">IFERROR(IF(ISNUMBER(FF7),INDEX('1.Items'!I2:I37,FF7 )," ")," ")</f>
        <v xml:space="preserve"> </v>
      </c>
    </row>
    <row r="8" spans="1:167" x14ac:dyDescent="0.25">
      <c r="A8" s="12">
        <v>3</v>
      </c>
      <c r="B8" s="26"/>
      <c r="C8" s="27"/>
      <c r="D8" s="27"/>
      <c r="E8" s="26"/>
      <c r="F8" s="28" t="str">
        <f ca="1">IFERROR(MATCH(INDIRECT("B8"),'1.Items'!$B$2:$B$5, 0)," ")</f>
        <v xml:space="preserve"> </v>
      </c>
      <c r="G8" s="15" t="str">
        <f ca="1">IFERROR(IF(ISNUMBER(F8),C8+IF(E8="No",INDEX('1.Items'!D2:D5,F8),INDEX('1.Items'!E2:E5,F8))," ")," ")</f>
        <v xml:space="preserve"> </v>
      </c>
      <c r="H8" s="15" t="str">
        <f ca="1">IFERROR(IF(ISNUMBER(F8),D8+IF(E8="No",INDEX('1.Items'!E2:E5,F8),INDEX('1.Items'!D2:D5,F8))," ")," ")</f>
        <v xml:space="preserve"> </v>
      </c>
      <c r="I8" s="28" t="str">
        <f ca="1">IFERROR(IF(ISNUMBER(F8),INDEX('1.Items'!G2:G37,F8 )," ")," ")</f>
        <v xml:space="preserve"> </v>
      </c>
      <c r="J8" s="15" t="str">
        <f ca="1">IFERROR(IF(ISNUMBER(F8),INDEX('1.Items'!F2:F37,F8 )," ")," ")</f>
        <v xml:space="preserve"> </v>
      </c>
      <c r="K8" s="15" t="str">
        <f ca="1">IFERROR(IF(ISNUMBER(F8),INDEX('1.Items'!I2:I37,F8 )," ")," ")</f>
        <v xml:space="preserve"> </v>
      </c>
      <c r="N8" s="12">
        <v>3</v>
      </c>
      <c r="O8" s="26"/>
      <c r="P8" s="27"/>
      <c r="Q8" s="27"/>
      <c r="R8" s="26"/>
      <c r="S8" s="28" t="str">
        <f ca="1">IFERROR(MATCH(INDIRECT("O8"),'1.Items'!$B$2:$B$5, 0)," ")</f>
        <v xml:space="preserve"> </v>
      </c>
      <c r="T8" s="15" t="str">
        <f ca="1">IFERROR(IF(ISNUMBER(S8),P8+IF(R8="No",INDEX('1.Items'!D2:D5,S8),INDEX('1.Items'!E2:E5,S8))," ")," ")</f>
        <v xml:space="preserve"> </v>
      </c>
      <c r="U8" s="15" t="str">
        <f ca="1">IFERROR(IF(ISNUMBER(S8),Q8+IF(R8="No",INDEX('1.Items'!E2:E5,S8),INDEX('1.Items'!D2:D5,S8))," ")," ")</f>
        <v xml:space="preserve"> </v>
      </c>
      <c r="V8" s="28" t="str">
        <f ca="1">IFERROR(IF(ISNUMBER(S8),INDEX('1.Items'!G2:G37,S8 )," ")," ")</f>
        <v xml:space="preserve"> </v>
      </c>
      <c r="W8" s="15" t="str">
        <f ca="1">IFERROR(IF(ISNUMBER(S8),INDEX('1.Items'!F2:F37,S8 )," ")," ")</f>
        <v xml:space="preserve"> </v>
      </c>
      <c r="X8" s="15" t="str">
        <f ca="1">IFERROR(IF(ISNUMBER(S8),INDEX('1.Items'!I2:I37,S8 )," ")," ")</f>
        <v xml:space="preserve"> </v>
      </c>
      <c r="AA8" s="12">
        <v>3</v>
      </c>
      <c r="AB8" s="26"/>
      <c r="AC8" s="27"/>
      <c r="AD8" s="27"/>
      <c r="AE8" s="26"/>
      <c r="AF8" s="28" t="str">
        <f ca="1">IFERROR(MATCH(INDIRECT("AB8"),'1.Items'!$B$2:$B$5, 0)," ")</f>
        <v xml:space="preserve"> </v>
      </c>
      <c r="AG8" s="15" t="str">
        <f ca="1">IFERROR(IF(ISNUMBER(AF8),AC8+IF(AE8="No",INDEX('1.Items'!D2:D5,AF8),INDEX('1.Items'!E2:E5,AF8))," ")," ")</f>
        <v xml:space="preserve"> </v>
      </c>
      <c r="AH8" s="15" t="str">
        <f ca="1">IFERROR(IF(ISNUMBER(AF8),AD8+IF(AE8="No",INDEX('1.Items'!E2:E5,AF8),INDEX('1.Items'!D2:D5,AF8))," ")," ")</f>
        <v xml:space="preserve"> </v>
      </c>
      <c r="AI8" s="28" t="str">
        <f ca="1">IFERROR(IF(ISNUMBER(AF8),INDEX('1.Items'!G2:G37,AF8 )," ")," ")</f>
        <v xml:space="preserve"> </v>
      </c>
      <c r="AJ8" s="15" t="str">
        <f ca="1">IFERROR(IF(ISNUMBER(AF8),INDEX('1.Items'!F2:F37,AF8 )," ")," ")</f>
        <v xml:space="preserve"> </v>
      </c>
      <c r="AK8" s="15" t="str">
        <f ca="1">IFERROR(IF(ISNUMBER(AF8),INDEX('1.Items'!I2:I37,AF8 )," ")," ")</f>
        <v xml:space="preserve"> </v>
      </c>
      <c r="AN8" s="12">
        <v>3</v>
      </c>
      <c r="AO8" s="26"/>
      <c r="AP8" s="27"/>
      <c r="AQ8" s="27"/>
      <c r="AR8" s="26"/>
      <c r="AS8" s="28" t="str">
        <f ca="1">IFERROR(MATCH(INDIRECT("AO8"),'1.Items'!$B$2:$B$5, 0)," ")</f>
        <v xml:space="preserve"> </v>
      </c>
      <c r="AT8" s="15" t="str">
        <f ca="1">IFERROR(IF(ISNUMBER(AS8),AP8+IF(AR8="No",INDEX('1.Items'!D2:D5,AS8),INDEX('1.Items'!E2:E5,AS8))," ")," ")</f>
        <v xml:space="preserve"> </v>
      </c>
      <c r="AU8" s="15" t="str">
        <f ca="1">IFERROR(IF(ISNUMBER(AS8),AQ8+IF(AR8="No",INDEX('1.Items'!E2:E5,AS8),INDEX('1.Items'!D2:D5,AS8))," ")," ")</f>
        <v xml:space="preserve"> </v>
      </c>
      <c r="AV8" s="28" t="str">
        <f ca="1">IFERROR(IF(ISNUMBER(AS8),INDEX('1.Items'!G2:G37,AS8 )," ")," ")</f>
        <v xml:space="preserve"> </v>
      </c>
      <c r="AW8" s="15" t="str">
        <f ca="1">IFERROR(IF(ISNUMBER(AS8),INDEX('1.Items'!F2:F37,AS8 )," ")," ")</f>
        <v xml:space="preserve"> </v>
      </c>
      <c r="AX8" s="15" t="str">
        <f ca="1">IFERROR(IF(ISNUMBER(AS8),INDEX('1.Items'!I2:I37,AS8 )," ")," ")</f>
        <v xml:space="preserve"> </v>
      </c>
      <c r="BA8" s="12">
        <v>3</v>
      </c>
      <c r="BB8" s="26"/>
      <c r="BC8" s="27"/>
      <c r="BD8" s="27"/>
      <c r="BE8" s="26"/>
      <c r="BF8" s="28" t="str">
        <f ca="1">IFERROR(MATCH(INDIRECT("BB8"),'1.Items'!$B$2:$B$5, 0)," ")</f>
        <v xml:space="preserve"> </v>
      </c>
      <c r="BG8" s="15" t="str">
        <f ca="1">IFERROR(IF(ISNUMBER(BF8),BC8+IF(BE8="No",INDEX('1.Items'!D2:D5,BF8),INDEX('1.Items'!E2:E5,BF8))," ")," ")</f>
        <v xml:space="preserve"> </v>
      </c>
      <c r="BH8" s="15" t="str">
        <f ca="1">IFERROR(IF(ISNUMBER(BF8),BD8+IF(BE8="No",INDEX('1.Items'!E2:E5,BF8),INDEX('1.Items'!D2:D5,BF8))," ")," ")</f>
        <v xml:space="preserve"> </v>
      </c>
      <c r="BI8" s="28" t="str">
        <f ca="1">IFERROR(IF(ISNUMBER(BF8),INDEX('1.Items'!G2:G37,BF8 )," ")," ")</f>
        <v xml:space="preserve"> </v>
      </c>
      <c r="BJ8" s="15" t="str">
        <f ca="1">IFERROR(IF(ISNUMBER(BF8),INDEX('1.Items'!F2:F37,BF8 )," ")," ")</f>
        <v xml:space="preserve"> </v>
      </c>
      <c r="BK8" s="15" t="str">
        <f ca="1">IFERROR(IF(ISNUMBER(BF8),INDEX('1.Items'!I2:I37,BF8 )," ")," ")</f>
        <v xml:space="preserve"> </v>
      </c>
      <c r="BN8" s="12">
        <v>3</v>
      </c>
      <c r="BO8" s="26"/>
      <c r="BP8" s="27"/>
      <c r="BQ8" s="27"/>
      <c r="BR8" s="26"/>
      <c r="BS8" s="28" t="str">
        <f ca="1">IFERROR(MATCH(INDIRECT("BO8"),'1.Items'!$B$2:$B$5, 0)," ")</f>
        <v xml:space="preserve"> </v>
      </c>
      <c r="BT8" s="15" t="str">
        <f ca="1">IFERROR(IF(ISNUMBER(BS8),BP8+IF(BR8="No",INDEX('1.Items'!D2:D5,BS8),INDEX('1.Items'!E2:E5,BS8))," ")," ")</f>
        <v xml:space="preserve"> </v>
      </c>
      <c r="BU8" s="15" t="str">
        <f ca="1">IFERROR(IF(ISNUMBER(BS8),BQ8+IF(BR8="No",INDEX('1.Items'!E2:E5,BS8),INDEX('1.Items'!D2:D5,BS8))," ")," ")</f>
        <v xml:space="preserve"> </v>
      </c>
      <c r="BV8" s="28" t="str">
        <f ca="1">IFERROR(IF(ISNUMBER(BS8),INDEX('1.Items'!G2:G37,BS8 )," ")," ")</f>
        <v xml:space="preserve"> </v>
      </c>
      <c r="BW8" s="15" t="str">
        <f ca="1">IFERROR(IF(ISNUMBER(BS8),INDEX('1.Items'!F2:F37,BS8 )," ")," ")</f>
        <v xml:space="preserve"> </v>
      </c>
      <c r="BX8" s="15" t="str">
        <f ca="1">IFERROR(IF(ISNUMBER(BS8),INDEX('1.Items'!I2:I37,BS8 )," ")," ")</f>
        <v xml:space="preserve"> </v>
      </c>
      <c r="CA8" s="12">
        <v>3</v>
      </c>
      <c r="CB8" s="26" t="s">
        <v>60</v>
      </c>
      <c r="CC8" s="27">
        <v>0</v>
      </c>
      <c r="CD8" s="27">
        <v>6</v>
      </c>
      <c r="CE8" s="26" t="s">
        <v>15</v>
      </c>
      <c r="CF8" s="28">
        <f ca="1">IFERROR(MATCH(INDIRECT("CB8"),'1.Items'!$B$2:$B$5, 0)," ")</f>
        <v>4</v>
      </c>
      <c r="CG8" s="15">
        <f ca="1">IFERROR(IF(ISNUMBER(CF8),CC8+IF(CE8="No",INDEX('1.Items'!D2:D5,CF8),INDEX('1.Items'!E2:E5,CF8))," ")," ")</f>
        <v>1</v>
      </c>
      <c r="CH8" s="15">
        <f ca="1">IFERROR(IF(ISNUMBER(CF8),CD8+IF(CE8="No",INDEX('1.Items'!E2:E5,CF8),INDEX('1.Items'!D2:D5,CF8))," ")," ")</f>
        <v>6.5</v>
      </c>
      <c r="CI8" s="28" t="str">
        <f ca="1">IFERROR(IF(ISNUMBER(CF8),INDEX('1.Items'!G2:G37,CF8 )," ")," ")</f>
        <v>No</v>
      </c>
      <c r="CJ8" s="15">
        <f ca="1">IFERROR(IF(ISNUMBER(CF8),INDEX('1.Items'!F2:F37,CF8 )," ")," ")</f>
        <v>0.5</v>
      </c>
      <c r="CK8" s="15">
        <f ca="1">IFERROR(IF(ISNUMBER(CF8),INDEX('1.Items'!I2:I37,CF8 )," ")," ")</f>
        <v>0</v>
      </c>
      <c r="CN8" s="12">
        <v>3</v>
      </c>
      <c r="CO8" s="26" t="s">
        <v>60</v>
      </c>
      <c r="CP8" s="27">
        <v>0</v>
      </c>
      <c r="CQ8" s="27">
        <v>1</v>
      </c>
      <c r="CR8" s="26" t="s">
        <v>15</v>
      </c>
      <c r="CS8" s="28">
        <f ca="1">IFERROR(MATCH(INDIRECT("CO8"),'1.Items'!$B$2:$B$5, 0)," ")</f>
        <v>4</v>
      </c>
      <c r="CT8" s="15">
        <f ca="1">IFERROR(IF(ISNUMBER(CS8),CP8+IF(CR8="No",INDEX('1.Items'!D2:D5,CS8),INDEX('1.Items'!E2:E5,CS8))," ")," ")</f>
        <v>1</v>
      </c>
      <c r="CU8" s="15">
        <f ca="1">IFERROR(IF(ISNUMBER(CS8),CQ8+IF(CR8="No",INDEX('1.Items'!E2:E5,CS8),INDEX('1.Items'!D2:D5,CS8))," ")," ")</f>
        <v>1.5</v>
      </c>
      <c r="CV8" s="28" t="str">
        <f ca="1">IFERROR(IF(ISNUMBER(CS8),INDEX('1.Items'!G2:G37,CS8 )," ")," ")</f>
        <v>No</v>
      </c>
      <c r="CW8" s="15">
        <f ca="1">IFERROR(IF(ISNUMBER(CS8),INDEX('1.Items'!F2:F37,CS8 )," ")," ")</f>
        <v>0.5</v>
      </c>
      <c r="CX8" s="15">
        <f ca="1">IFERROR(IF(ISNUMBER(CS8),INDEX('1.Items'!I2:I37,CS8 )," ")," ")</f>
        <v>0</v>
      </c>
      <c r="DA8" s="12">
        <v>3</v>
      </c>
      <c r="DB8" s="26"/>
      <c r="DC8" s="27"/>
      <c r="DD8" s="27"/>
      <c r="DE8" s="26"/>
      <c r="DF8" s="28" t="str">
        <f ca="1">IFERROR(MATCH(INDIRECT("DB8"),'1.Items'!$B$2:$B$5, 0)," ")</f>
        <v xml:space="preserve"> </v>
      </c>
      <c r="DG8" s="15" t="str">
        <f ca="1">IFERROR(IF(ISNUMBER(DF8),DC8+IF(DE8="No",INDEX('1.Items'!D2:D5,DF8),INDEX('1.Items'!E2:E5,DF8))," ")," ")</f>
        <v xml:space="preserve"> </v>
      </c>
      <c r="DH8" s="15" t="str">
        <f ca="1">IFERROR(IF(ISNUMBER(DF8),DD8+IF(DE8="No",INDEX('1.Items'!E2:E5,DF8),INDEX('1.Items'!D2:D5,DF8))," ")," ")</f>
        <v xml:space="preserve"> </v>
      </c>
      <c r="DI8" s="28" t="str">
        <f ca="1">IFERROR(IF(ISNUMBER(DF8),INDEX('1.Items'!G2:G37,DF8 )," ")," ")</f>
        <v xml:space="preserve"> </v>
      </c>
      <c r="DJ8" s="15" t="str">
        <f ca="1">IFERROR(IF(ISNUMBER(DF8),INDEX('1.Items'!F2:F37,DF8 )," ")," ")</f>
        <v xml:space="preserve"> </v>
      </c>
      <c r="DK8" s="15" t="str">
        <f ca="1">IFERROR(IF(ISNUMBER(DF8),INDEX('1.Items'!I2:I37,DF8 )," ")," ")</f>
        <v xml:space="preserve"> </v>
      </c>
      <c r="DN8" s="12">
        <v>3</v>
      </c>
      <c r="DO8" s="26"/>
      <c r="DP8" s="27"/>
      <c r="DQ8" s="27"/>
      <c r="DR8" s="26"/>
      <c r="DS8" s="28" t="str">
        <f ca="1">IFERROR(MATCH(INDIRECT("DO8"),'1.Items'!$B$2:$B$5, 0)," ")</f>
        <v xml:space="preserve"> </v>
      </c>
      <c r="DT8" s="15" t="str">
        <f ca="1">IFERROR(IF(ISNUMBER(DS8),DP8+IF(DR8="No",INDEX('1.Items'!D2:D5,DS8),INDEX('1.Items'!E2:E5,DS8))," ")," ")</f>
        <v xml:space="preserve"> </v>
      </c>
      <c r="DU8" s="15" t="str">
        <f ca="1">IFERROR(IF(ISNUMBER(DS8),DQ8+IF(DR8="No",INDEX('1.Items'!E2:E5,DS8),INDEX('1.Items'!D2:D5,DS8))," ")," ")</f>
        <v xml:space="preserve"> </v>
      </c>
      <c r="DV8" s="28" t="str">
        <f ca="1">IFERROR(IF(ISNUMBER(DS8),INDEX('1.Items'!G2:G37,DS8 )," ")," ")</f>
        <v xml:space="preserve"> </v>
      </c>
      <c r="DW8" s="15" t="str">
        <f ca="1">IFERROR(IF(ISNUMBER(DS8),INDEX('1.Items'!F2:F37,DS8 )," ")," ")</f>
        <v xml:space="preserve"> </v>
      </c>
      <c r="DX8" s="15" t="str">
        <f ca="1">IFERROR(IF(ISNUMBER(DS8),INDEX('1.Items'!I2:I37,DS8 )," ")," ")</f>
        <v xml:space="preserve"> </v>
      </c>
      <c r="EA8" s="12">
        <v>3</v>
      </c>
      <c r="EB8" s="26"/>
      <c r="EC8" s="27"/>
      <c r="ED8" s="27"/>
      <c r="EE8" s="26"/>
      <c r="EF8" s="28" t="str">
        <f ca="1">IFERROR(MATCH(INDIRECT("EB8"),'1.Items'!$B$2:$B$5, 0)," ")</f>
        <v xml:space="preserve"> </v>
      </c>
      <c r="EG8" s="15" t="str">
        <f ca="1">IFERROR(IF(ISNUMBER(EF8),EC8+IF(EE8="No",INDEX('1.Items'!D2:D5,EF8),INDEX('1.Items'!E2:E5,EF8))," ")," ")</f>
        <v xml:space="preserve"> </v>
      </c>
      <c r="EH8" s="15" t="str">
        <f ca="1">IFERROR(IF(ISNUMBER(EF8),ED8+IF(EE8="No",INDEX('1.Items'!E2:E5,EF8),INDEX('1.Items'!D2:D5,EF8))," ")," ")</f>
        <v xml:space="preserve"> </v>
      </c>
      <c r="EI8" s="28" t="str">
        <f ca="1">IFERROR(IF(ISNUMBER(EF8),INDEX('1.Items'!G2:G37,EF8 )," ")," ")</f>
        <v xml:space="preserve"> </v>
      </c>
      <c r="EJ8" s="15" t="str">
        <f ca="1">IFERROR(IF(ISNUMBER(EF8),INDEX('1.Items'!F2:F37,EF8 )," ")," ")</f>
        <v xml:space="preserve"> </v>
      </c>
      <c r="EK8" s="15" t="str">
        <f ca="1">IFERROR(IF(ISNUMBER(EF8),INDEX('1.Items'!I2:I37,EF8 )," ")," ")</f>
        <v xml:space="preserve"> </v>
      </c>
      <c r="EN8" s="12">
        <v>3</v>
      </c>
      <c r="EO8" s="26"/>
      <c r="EP8" s="27"/>
      <c r="EQ8" s="27"/>
      <c r="ER8" s="26"/>
      <c r="ES8" s="28" t="str">
        <f ca="1">IFERROR(MATCH(INDIRECT("EO8"),'1.Items'!$B$2:$B$5, 0)," ")</f>
        <v xml:space="preserve"> </v>
      </c>
      <c r="ET8" s="15" t="str">
        <f ca="1">IFERROR(IF(ISNUMBER(ES8),EP8+IF(ER8="No",INDEX('1.Items'!D2:D5,ES8),INDEX('1.Items'!E2:E5,ES8))," ")," ")</f>
        <v xml:space="preserve"> </v>
      </c>
      <c r="EU8" s="15" t="str">
        <f ca="1">IFERROR(IF(ISNUMBER(ES8),EQ8+IF(ER8="No",INDEX('1.Items'!E2:E5,ES8),INDEX('1.Items'!D2:D5,ES8))," ")," ")</f>
        <v xml:space="preserve"> </v>
      </c>
      <c r="EV8" s="28" t="str">
        <f ca="1">IFERROR(IF(ISNUMBER(ES8),INDEX('1.Items'!G2:G37,ES8 )," ")," ")</f>
        <v xml:space="preserve"> </v>
      </c>
      <c r="EW8" s="15" t="str">
        <f ca="1">IFERROR(IF(ISNUMBER(ES8),INDEX('1.Items'!F2:F37,ES8 )," ")," ")</f>
        <v xml:space="preserve"> </v>
      </c>
      <c r="EX8" s="15" t="str">
        <f ca="1">IFERROR(IF(ISNUMBER(ES8),INDEX('1.Items'!I2:I37,ES8 )," ")," ")</f>
        <v xml:space="preserve"> </v>
      </c>
      <c r="FA8" s="12">
        <v>3</v>
      </c>
      <c r="FB8" s="26"/>
      <c r="FC8" s="27"/>
      <c r="FD8" s="27"/>
      <c r="FE8" s="26"/>
      <c r="FF8" s="28" t="str">
        <f ca="1">IFERROR(MATCH(INDIRECT("FB8"),'1.Items'!$B$2:$B$5, 0)," ")</f>
        <v xml:space="preserve"> </v>
      </c>
      <c r="FG8" s="15" t="str">
        <f ca="1">IFERROR(IF(ISNUMBER(FF8),FC8+IF(FE8="No",INDEX('1.Items'!D2:D5,FF8),INDEX('1.Items'!E2:E5,FF8))," ")," ")</f>
        <v xml:space="preserve"> </v>
      </c>
      <c r="FH8" s="15" t="str">
        <f ca="1">IFERROR(IF(ISNUMBER(FF8),FD8+IF(FE8="No",INDEX('1.Items'!E2:E5,FF8),INDEX('1.Items'!D2:D5,FF8))," ")," ")</f>
        <v xml:space="preserve"> </v>
      </c>
      <c r="FI8" s="28" t="str">
        <f ca="1">IFERROR(IF(ISNUMBER(FF8),INDEX('1.Items'!G2:G37,FF8 )," ")," ")</f>
        <v xml:space="preserve"> </v>
      </c>
      <c r="FJ8" s="15" t="str">
        <f ca="1">IFERROR(IF(ISNUMBER(FF8),INDEX('1.Items'!F2:F37,FF8 )," ")," ")</f>
        <v xml:space="preserve"> </v>
      </c>
      <c r="FK8" s="15" t="str">
        <f ca="1">IFERROR(IF(ISNUMBER(FF8),INDEX('1.Items'!I2:I37,FF8 )," ")," ")</f>
        <v xml:space="preserve"> </v>
      </c>
    </row>
    <row r="9" spans="1:167" x14ac:dyDescent="0.25">
      <c r="A9" s="12">
        <v>4</v>
      </c>
      <c r="B9" s="26"/>
      <c r="C9" s="27"/>
      <c r="D9" s="27"/>
      <c r="E9" s="26"/>
      <c r="F9" s="28" t="str">
        <f ca="1">IFERROR(MATCH(INDIRECT("B9"),'1.Items'!$B$2:$B$5, 0)," ")</f>
        <v xml:space="preserve"> </v>
      </c>
      <c r="G9" s="15" t="str">
        <f ca="1">IFERROR(IF(ISNUMBER(F9),C9+IF(E9="No",INDEX('1.Items'!D2:D5,F9),INDEX('1.Items'!E2:E5,F9))," ")," ")</f>
        <v xml:space="preserve"> </v>
      </c>
      <c r="H9" s="15" t="str">
        <f ca="1">IFERROR(IF(ISNUMBER(F9),D9+IF(E9="No",INDEX('1.Items'!E2:E5,F9),INDEX('1.Items'!D2:D5,F9))," ")," ")</f>
        <v xml:space="preserve"> </v>
      </c>
      <c r="I9" s="28" t="str">
        <f ca="1">IFERROR(IF(ISNUMBER(F9),INDEX('1.Items'!G2:G37,F9 )," ")," ")</f>
        <v xml:space="preserve"> </v>
      </c>
      <c r="J9" s="15" t="str">
        <f ca="1">IFERROR(IF(ISNUMBER(F9),INDEX('1.Items'!F2:F37,F9 )," ")," ")</f>
        <v xml:space="preserve"> </v>
      </c>
      <c r="K9" s="15" t="str">
        <f ca="1">IFERROR(IF(ISNUMBER(F9),INDEX('1.Items'!I2:I37,F9 )," ")," ")</f>
        <v xml:space="preserve"> </v>
      </c>
      <c r="N9" s="12">
        <v>4</v>
      </c>
      <c r="O9" s="26"/>
      <c r="P9" s="27"/>
      <c r="Q9" s="27"/>
      <c r="R9" s="26"/>
      <c r="S9" s="28" t="str">
        <f ca="1">IFERROR(MATCH(INDIRECT("O9"),'1.Items'!$B$2:$B$5, 0)," ")</f>
        <v xml:space="preserve"> </v>
      </c>
      <c r="T9" s="15" t="str">
        <f ca="1">IFERROR(IF(ISNUMBER(S9),P9+IF(R9="No",INDEX('1.Items'!D2:D5,S9),INDEX('1.Items'!E2:E5,S9))," ")," ")</f>
        <v xml:space="preserve"> </v>
      </c>
      <c r="U9" s="15" t="str">
        <f ca="1">IFERROR(IF(ISNUMBER(S9),Q9+IF(R9="No",INDEX('1.Items'!E2:E5,S9),INDEX('1.Items'!D2:D5,S9))," ")," ")</f>
        <v xml:space="preserve"> </v>
      </c>
      <c r="V9" s="28" t="str">
        <f ca="1">IFERROR(IF(ISNUMBER(S9),INDEX('1.Items'!G2:G37,S9 )," ")," ")</f>
        <v xml:space="preserve"> </v>
      </c>
      <c r="W9" s="15" t="str">
        <f ca="1">IFERROR(IF(ISNUMBER(S9),INDEX('1.Items'!F2:F37,S9 )," ")," ")</f>
        <v xml:space="preserve"> </v>
      </c>
      <c r="X9" s="15" t="str">
        <f ca="1">IFERROR(IF(ISNUMBER(S9),INDEX('1.Items'!I2:I37,S9 )," ")," ")</f>
        <v xml:space="preserve"> </v>
      </c>
      <c r="AA9" s="12">
        <v>4</v>
      </c>
      <c r="AB9" s="26"/>
      <c r="AC9" s="27"/>
      <c r="AD9" s="27"/>
      <c r="AE9" s="26"/>
      <c r="AF9" s="28" t="str">
        <f ca="1">IFERROR(MATCH(INDIRECT("AB9"),'1.Items'!$B$2:$B$5, 0)," ")</f>
        <v xml:space="preserve"> </v>
      </c>
      <c r="AG9" s="15" t="str">
        <f ca="1">IFERROR(IF(ISNUMBER(AF9),AC9+IF(AE9="No",INDEX('1.Items'!D2:D5,AF9),INDEX('1.Items'!E2:E5,AF9))," ")," ")</f>
        <v xml:space="preserve"> </v>
      </c>
      <c r="AH9" s="15" t="str">
        <f ca="1">IFERROR(IF(ISNUMBER(AF9),AD9+IF(AE9="No",INDEX('1.Items'!E2:E5,AF9),INDEX('1.Items'!D2:D5,AF9))," ")," ")</f>
        <v xml:space="preserve"> </v>
      </c>
      <c r="AI9" s="28" t="str">
        <f ca="1">IFERROR(IF(ISNUMBER(AF9),INDEX('1.Items'!G2:G37,AF9 )," ")," ")</f>
        <v xml:space="preserve"> </v>
      </c>
      <c r="AJ9" s="15" t="str">
        <f ca="1">IFERROR(IF(ISNUMBER(AF9),INDEX('1.Items'!F2:F37,AF9 )," ")," ")</f>
        <v xml:space="preserve"> </v>
      </c>
      <c r="AK9" s="15" t="str">
        <f ca="1">IFERROR(IF(ISNUMBER(AF9),INDEX('1.Items'!I2:I37,AF9 )," ")," ")</f>
        <v xml:space="preserve"> </v>
      </c>
      <c r="AN9" s="12">
        <v>4</v>
      </c>
      <c r="AO9" s="26"/>
      <c r="AP9" s="27"/>
      <c r="AQ9" s="27"/>
      <c r="AR9" s="26"/>
      <c r="AS9" s="28" t="str">
        <f ca="1">IFERROR(MATCH(INDIRECT("AO9"),'1.Items'!$B$2:$B$5, 0)," ")</f>
        <v xml:space="preserve"> </v>
      </c>
      <c r="AT9" s="15" t="str">
        <f ca="1">IFERROR(IF(ISNUMBER(AS9),AP9+IF(AR9="No",INDEX('1.Items'!D2:D5,AS9),INDEX('1.Items'!E2:E5,AS9))," ")," ")</f>
        <v xml:space="preserve"> </v>
      </c>
      <c r="AU9" s="15" t="str">
        <f ca="1">IFERROR(IF(ISNUMBER(AS9),AQ9+IF(AR9="No",INDEX('1.Items'!E2:E5,AS9),INDEX('1.Items'!D2:D5,AS9))," ")," ")</f>
        <v xml:space="preserve"> </v>
      </c>
      <c r="AV9" s="28" t="str">
        <f ca="1">IFERROR(IF(ISNUMBER(AS9),INDEX('1.Items'!G2:G37,AS9 )," ")," ")</f>
        <v xml:space="preserve"> </v>
      </c>
      <c r="AW9" s="15" t="str">
        <f ca="1">IFERROR(IF(ISNUMBER(AS9),INDEX('1.Items'!F2:F37,AS9 )," ")," ")</f>
        <v xml:space="preserve"> </v>
      </c>
      <c r="AX9" s="15" t="str">
        <f ca="1">IFERROR(IF(ISNUMBER(AS9),INDEX('1.Items'!I2:I37,AS9 )," ")," ")</f>
        <v xml:space="preserve"> </v>
      </c>
      <c r="BA9" s="12">
        <v>4</v>
      </c>
      <c r="BB9" s="26"/>
      <c r="BC9" s="27"/>
      <c r="BD9" s="27"/>
      <c r="BE9" s="26"/>
      <c r="BF9" s="28" t="str">
        <f ca="1">IFERROR(MATCH(INDIRECT("BB9"),'1.Items'!$B$2:$B$5, 0)," ")</f>
        <v xml:space="preserve"> </v>
      </c>
      <c r="BG9" s="15" t="str">
        <f ca="1">IFERROR(IF(ISNUMBER(BF9),BC9+IF(BE9="No",INDEX('1.Items'!D2:D5,BF9),INDEX('1.Items'!E2:E5,BF9))," ")," ")</f>
        <v xml:space="preserve"> </v>
      </c>
      <c r="BH9" s="15" t="str">
        <f ca="1">IFERROR(IF(ISNUMBER(BF9),BD9+IF(BE9="No",INDEX('1.Items'!E2:E5,BF9),INDEX('1.Items'!D2:D5,BF9))," ")," ")</f>
        <v xml:space="preserve"> </v>
      </c>
      <c r="BI9" s="28" t="str">
        <f ca="1">IFERROR(IF(ISNUMBER(BF9),INDEX('1.Items'!G2:G37,BF9 )," ")," ")</f>
        <v xml:space="preserve"> </v>
      </c>
      <c r="BJ9" s="15" t="str">
        <f ca="1">IFERROR(IF(ISNUMBER(BF9),INDEX('1.Items'!F2:F37,BF9 )," ")," ")</f>
        <v xml:space="preserve"> </v>
      </c>
      <c r="BK9" s="15" t="str">
        <f ca="1">IFERROR(IF(ISNUMBER(BF9),INDEX('1.Items'!I2:I37,BF9 )," ")," ")</f>
        <v xml:space="preserve"> </v>
      </c>
      <c r="BN9" s="12">
        <v>4</v>
      </c>
      <c r="BO9" s="26"/>
      <c r="BP9" s="27"/>
      <c r="BQ9" s="27"/>
      <c r="BR9" s="26"/>
      <c r="BS9" s="28" t="str">
        <f ca="1">IFERROR(MATCH(INDIRECT("BO9"),'1.Items'!$B$2:$B$5, 0)," ")</f>
        <v xml:space="preserve"> </v>
      </c>
      <c r="BT9" s="15" t="str">
        <f ca="1">IFERROR(IF(ISNUMBER(BS9),BP9+IF(BR9="No",INDEX('1.Items'!D2:D5,BS9),INDEX('1.Items'!E2:E5,BS9))," ")," ")</f>
        <v xml:space="preserve"> </v>
      </c>
      <c r="BU9" s="15" t="str">
        <f ca="1">IFERROR(IF(ISNUMBER(BS9),BQ9+IF(BR9="No",INDEX('1.Items'!E2:E5,BS9),INDEX('1.Items'!D2:D5,BS9))," ")," ")</f>
        <v xml:space="preserve"> </v>
      </c>
      <c r="BV9" s="28" t="str">
        <f ca="1">IFERROR(IF(ISNUMBER(BS9),INDEX('1.Items'!G2:G37,BS9 )," ")," ")</f>
        <v xml:space="preserve"> </v>
      </c>
      <c r="BW9" s="15" t="str">
        <f ca="1">IFERROR(IF(ISNUMBER(BS9),INDEX('1.Items'!F2:F37,BS9 )," ")," ")</f>
        <v xml:space="preserve"> </v>
      </c>
      <c r="BX9" s="15" t="str">
        <f ca="1">IFERROR(IF(ISNUMBER(BS9),INDEX('1.Items'!I2:I37,BS9 )," ")," ")</f>
        <v xml:space="preserve"> </v>
      </c>
      <c r="CA9" s="12">
        <v>4</v>
      </c>
      <c r="CB9" s="26" t="s">
        <v>60</v>
      </c>
      <c r="CC9" s="27">
        <v>0</v>
      </c>
      <c r="CD9" s="27">
        <v>6.5</v>
      </c>
      <c r="CE9" s="26" t="s">
        <v>15</v>
      </c>
      <c r="CF9" s="28">
        <f ca="1">IFERROR(MATCH(INDIRECT("CB9"),'1.Items'!$B$2:$B$5, 0)," ")</f>
        <v>4</v>
      </c>
      <c r="CG9" s="15">
        <f ca="1">IFERROR(IF(ISNUMBER(CF9),CC9+IF(CE9="No",INDEX('1.Items'!D2:D5,CF9),INDEX('1.Items'!E2:E5,CF9))," ")," ")</f>
        <v>1</v>
      </c>
      <c r="CH9" s="15">
        <f ca="1">IFERROR(IF(ISNUMBER(CF9),CD9+IF(CE9="No",INDEX('1.Items'!E2:E5,CF9),INDEX('1.Items'!D2:D5,CF9))," ")," ")</f>
        <v>7</v>
      </c>
      <c r="CI9" s="28" t="str">
        <f ca="1">IFERROR(IF(ISNUMBER(CF9),INDEX('1.Items'!G2:G37,CF9 )," ")," ")</f>
        <v>No</v>
      </c>
      <c r="CJ9" s="15">
        <f ca="1">IFERROR(IF(ISNUMBER(CF9),INDEX('1.Items'!F2:F37,CF9 )," ")," ")</f>
        <v>0.5</v>
      </c>
      <c r="CK9" s="15">
        <f ca="1">IFERROR(IF(ISNUMBER(CF9),INDEX('1.Items'!I2:I37,CF9 )," ")," ")</f>
        <v>0</v>
      </c>
      <c r="CN9" s="12">
        <v>4</v>
      </c>
      <c r="CO9" s="26" t="s">
        <v>60</v>
      </c>
      <c r="CP9" s="27">
        <v>0</v>
      </c>
      <c r="CQ9" s="27">
        <v>1.5</v>
      </c>
      <c r="CR9" s="26" t="s">
        <v>15</v>
      </c>
      <c r="CS9" s="28">
        <f ca="1">IFERROR(MATCH(INDIRECT("CO9"),'1.Items'!$B$2:$B$5, 0)," ")</f>
        <v>4</v>
      </c>
      <c r="CT9" s="15">
        <f ca="1">IFERROR(IF(ISNUMBER(CS9),CP9+IF(CR9="No",INDEX('1.Items'!D2:D5,CS9),INDEX('1.Items'!E2:E5,CS9))," ")," ")</f>
        <v>1</v>
      </c>
      <c r="CU9" s="15">
        <f ca="1">IFERROR(IF(ISNUMBER(CS9),CQ9+IF(CR9="No",INDEX('1.Items'!E2:E5,CS9),INDEX('1.Items'!D2:D5,CS9))," ")," ")</f>
        <v>2</v>
      </c>
      <c r="CV9" s="28" t="str">
        <f ca="1">IFERROR(IF(ISNUMBER(CS9),INDEX('1.Items'!G2:G37,CS9 )," ")," ")</f>
        <v>No</v>
      </c>
      <c r="CW9" s="15">
        <f ca="1">IFERROR(IF(ISNUMBER(CS9),INDEX('1.Items'!F2:F37,CS9 )," ")," ")</f>
        <v>0.5</v>
      </c>
      <c r="CX9" s="15">
        <f ca="1">IFERROR(IF(ISNUMBER(CS9),INDEX('1.Items'!I2:I37,CS9 )," ")," ")</f>
        <v>0</v>
      </c>
      <c r="DA9" s="12">
        <v>4</v>
      </c>
      <c r="DB9" s="26"/>
      <c r="DC9" s="27"/>
      <c r="DD9" s="27"/>
      <c r="DE9" s="26"/>
      <c r="DF9" s="28" t="str">
        <f ca="1">IFERROR(MATCH(INDIRECT("DB9"),'1.Items'!$B$2:$B$5, 0)," ")</f>
        <v xml:space="preserve"> </v>
      </c>
      <c r="DG9" s="15" t="str">
        <f ca="1">IFERROR(IF(ISNUMBER(DF9),DC9+IF(DE9="No",INDEX('1.Items'!D2:D5,DF9),INDEX('1.Items'!E2:E5,DF9))," ")," ")</f>
        <v xml:space="preserve"> </v>
      </c>
      <c r="DH9" s="15" t="str">
        <f ca="1">IFERROR(IF(ISNUMBER(DF9),DD9+IF(DE9="No",INDEX('1.Items'!E2:E5,DF9),INDEX('1.Items'!D2:D5,DF9))," ")," ")</f>
        <v xml:space="preserve"> </v>
      </c>
      <c r="DI9" s="28" t="str">
        <f ca="1">IFERROR(IF(ISNUMBER(DF9),INDEX('1.Items'!G2:G37,DF9 )," ")," ")</f>
        <v xml:space="preserve"> </v>
      </c>
      <c r="DJ9" s="15" t="str">
        <f ca="1">IFERROR(IF(ISNUMBER(DF9),INDEX('1.Items'!F2:F37,DF9 )," ")," ")</f>
        <v xml:space="preserve"> </v>
      </c>
      <c r="DK9" s="15" t="str">
        <f ca="1">IFERROR(IF(ISNUMBER(DF9),INDEX('1.Items'!I2:I37,DF9 )," ")," ")</f>
        <v xml:space="preserve"> </v>
      </c>
      <c r="DN9" s="10">
        <v>4</v>
      </c>
      <c r="DO9" s="23"/>
      <c r="DP9" s="24"/>
      <c r="DQ9" s="24"/>
      <c r="DR9" s="23"/>
      <c r="DS9" s="25" t="str">
        <f ca="1">IFERROR(MATCH(INDIRECT("DO9"),'1.Items'!$B$2:$B$5, 0)," ")</f>
        <v xml:space="preserve"> </v>
      </c>
      <c r="DT9" s="11" t="str">
        <f ca="1">IFERROR(IF(ISNUMBER(DS9),DP9+IF(DR9="No",INDEX('1.Items'!D2:D5,DS9),INDEX('1.Items'!E2:E5,DS9))," ")," ")</f>
        <v xml:space="preserve"> </v>
      </c>
      <c r="DU9" s="11" t="str">
        <f ca="1">IFERROR(IF(ISNUMBER(DS9),DQ9+IF(DR9="No",INDEX('1.Items'!E2:E5,DS9),INDEX('1.Items'!D2:D5,DS9))," ")," ")</f>
        <v xml:space="preserve"> </v>
      </c>
      <c r="DV9" s="25" t="str">
        <f ca="1">IFERROR(IF(ISNUMBER(DS9),INDEX('1.Items'!G2:G37,DS9 )," ")," ")</f>
        <v xml:space="preserve"> </v>
      </c>
      <c r="DW9" s="11" t="str">
        <f ca="1">IFERROR(IF(ISNUMBER(DS9),INDEX('1.Items'!F2:F37,DS9 )," ")," ")</f>
        <v xml:space="preserve"> </v>
      </c>
      <c r="DX9" s="11" t="str">
        <f ca="1">IFERROR(IF(ISNUMBER(DS9),INDEX('1.Items'!I2:I37,DS9 )," ")," ")</f>
        <v xml:space="preserve"> </v>
      </c>
      <c r="EA9" s="10">
        <v>4</v>
      </c>
      <c r="EB9" s="23"/>
      <c r="EC9" s="24"/>
      <c r="ED9" s="24"/>
      <c r="EE9" s="23"/>
      <c r="EF9" s="25" t="str">
        <f ca="1">IFERROR(MATCH(INDIRECT("EB9"),'1.Items'!$B$2:$B$5, 0)," ")</f>
        <v xml:space="preserve"> </v>
      </c>
      <c r="EG9" s="11" t="str">
        <f ca="1">IFERROR(IF(ISNUMBER(EF9),EC9+IF(EE9="No",INDEX('1.Items'!D2:D5,EF9),INDEX('1.Items'!E2:E5,EF9))," ")," ")</f>
        <v xml:space="preserve"> </v>
      </c>
      <c r="EH9" s="11" t="str">
        <f ca="1">IFERROR(IF(ISNUMBER(EF9),ED9+IF(EE9="No",INDEX('1.Items'!E2:E5,EF9),INDEX('1.Items'!D2:D5,EF9))," ")," ")</f>
        <v xml:space="preserve"> </v>
      </c>
      <c r="EI9" s="25" t="str">
        <f ca="1">IFERROR(IF(ISNUMBER(EF9),INDEX('1.Items'!G2:G37,EF9 )," ")," ")</f>
        <v xml:space="preserve"> </v>
      </c>
      <c r="EJ9" s="11" t="str">
        <f ca="1">IFERROR(IF(ISNUMBER(EF9),INDEX('1.Items'!F2:F37,EF9 )," ")," ")</f>
        <v xml:space="preserve"> </v>
      </c>
      <c r="EK9" s="11" t="str">
        <f ca="1">IFERROR(IF(ISNUMBER(EF9),INDEX('1.Items'!I2:I37,EF9 )," ")," ")</f>
        <v xml:space="preserve"> </v>
      </c>
      <c r="EN9" s="12">
        <v>4</v>
      </c>
      <c r="EO9" s="26"/>
      <c r="EP9" s="27"/>
      <c r="EQ9" s="27"/>
      <c r="ER9" s="26"/>
      <c r="ES9" s="28" t="str">
        <f ca="1">IFERROR(MATCH(INDIRECT("EO9"),'1.Items'!$B$2:$B$5, 0)," ")</f>
        <v xml:space="preserve"> </v>
      </c>
      <c r="ET9" s="15" t="str">
        <f ca="1">IFERROR(IF(ISNUMBER(ES9),EP9+IF(ER9="No",INDEX('1.Items'!D2:D5,ES9),INDEX('1.Items'!E2:E5,ES9))," ")," ")</f>
        <v xml:space="preserve"> </v>
      </c>
      <c r="EU9" s="15" t="str">
        <f ca="1">IFERROR(IF(ISNUMBER(ES9),EQ9+IF(ER9="No",INDEX('1.Items'!E2:E5,ES9),INDEX('1.Items'!D2:D5,ES9))," ")," ")</f>
        <v xml:space="preserve"> </v>
      </c>
      <c r="EV9" s="28" t="str">
        <f ca="1">IFERROR(IF(ISNUMBER(ES9),INDEX('1.Items'!G2:G37,ES9 )," ")," ")</f>
        <v xml:space="preserve"> </v>
      </c>
      <c r="EW9" s="15" t="str">
        <f ca="1">IFERROR(IF(ISNUMBER(ES9),INDEX('1.Items'!F2:F37,ES9 )," ")," ")</f>
        <v xml:space="preserve"> </v>
      </c>
      <c r="EX9" s="15" t="str">
        <f ca="1">IFERROR(IF(ISNUMBER(ES9),INDEX('1.Items'!I2:I37,ES9 )," ")," ")</f>
        <v xml:space="preserve"> </v>
      </c>
      <c r="FA9" s="12">
        <v>4</v>
      </c>
      <c r="FB9" s="26"/>
      <c r="FC9" s="27"/>
      <c r="FD9" s="27"/>
      <c r="FE9" s="26"/>
      <c r="FF9" s="28" t="str">
        <f ca="1">IFERROR(MATCH(INDIRECT("FB9"),'1.Items'!$B$2:$B$5, 0)," ")</f>
        <v xml:space="preserve"> </v>
      </c>
      <c r="FG9" s="15" t="str">
        <f ca="1">IFERROR(IF(ISNUMBER(FF9),FC9+IF(FE9="No",INDEX('1.Items'!D2:D5,FF9),INDEX('1.Items'!E2:E5,FF9))," ")," ")</f>
        <v xml:space="preserve"> </v>
      </c>
      <c r="FH9" s="15" t="str">
        <f ca="1">IFERROR(IF(ISNUMBER(FF9),FD9+IF(FE9="No",INDEX('1.Items'!E2:E5,FF9),INDEX('1.Items'!D2:D5,FF9))," ")," ")</f>
        <v xml:space="preserve"> </v>
      </c>
      <c r="FI9" s="28" t="str">
        <f ca="1">IFERROR(IF(ISNUMBER(FF9),INDEX('1.Items'!G2:G37,FF9 )," ")," ")</f>
        <v xml:space="preserve"> </v>
      </c>
      <c r="FJ9" s="15" t="str">
        <f ca="1">IFERROR(IF(ISNUMBER(FF9),INDEX('1.Items'!F2:F37,FF9 )," ")," ")</f>
        <v xml:space="preserve"> </v>
      </c>
      <c r="FK9" s="15" t="str">
        <f ca="1">IFERROR(IF(ISNUMBER(FF9),INDEX('1.Items'!I2:I37,FF9 )," ")," ")</f>
        <v xml:space="preserve"> </v>
      </c>
    </row>
    <row r="10" spans="1:167" x14ac:dyDescent="0.25">
      <c r="A10" s="12">
        <v>5</v>
      </c>
      <c r="B10" s="26"/>
      <c r="C10" s="27"/>
      <c r="D10" s="27"/>
      <c r="E10" s="26"/>
      <c r="F10" s="28" t="str">
        <f ca="1">IFERROR(MATCH(INDIRECT("B10"),'1.Items'!$B$2:$B$5, 0)," ")</f>
        <v xml:space="preserve"> </v>
      </c>
      <c r="G10" s="15" t="str">
        <f ca="1">IFERROR(IF(ISNUMBER(F10),C10+IF(E10="No",INDEX('1.Items'!D2:D5,F10),INDEX('1.Items'!E2:E5,F10))," ")," ")</f>
        <v xml:space="preserve"> </v>
      </c>
      <c r="H10" s="15" t="str">
        <f ca="1">IFERROR(IF(ISNUMBER(F10),D10+IF(E10="No",INDEX('1.Items'!E2:E5,F10),INDEX('1.Items'!D2:D5,F10))," ")," ")</f>
        <v xml:space="preserve"> </v>
      </c>
      <c r="I10" s="28" t="str">
        <f ca="1">IFERROR(IF(ISNUMBER(F10),INDEX('1.Items'!G2:G37,F10 )," ")," ")</f>
        <v xml:space="preserve"> </v>
      </c>
      <c r="J10" s="15" t="str">
        <f ca="1">IFERROR(IF(ISNUMBER(F10),INDEX('1.Items'!F2:F37,F10 )," ")," ")</f>
        <v xml:space="preserve"> </v>
      </c>
      <c r="K10" s="15" t="str">
        <f ca="1">IFERROR(IF(ISNUMBER(F10),INDEX('1.Items'!I2:I37,F10 )," ")," ")</f>
        <v xml:space="preserve"> </v>
      </c>
      <c r="N10" s="12">
        <v>5</v>
      </c>
      <c r="O10" s="26"/>
      <c r="P10" s="27"/>
      <c r="Q10" s="27"/>
      <c r="R10" s="26"/>
      <c r="S10" s="28" t="str">
        <f ca="1">IFERROR(MATCH(INDIRECT("O10"),'1.Items'!$B$2:$B$5, 0)," ")</f>
        <v xml:space="preserve"> </v>
      </c>
      <c r="T10" s="15" t="str">
        <f ca="1">IFERROR(IF(ISNUMBER(S10),P10+IF(R10="No",INDEX('1.Items'!D2:D5,S10),INDEX('1.Items'!E2:E5,S10))," ")," ")</f>
        <v xml:space="preserve"> </v>
      </c>
      <c r="U10" s="15" t="str">
        <f ca="1">IFERROR(IF(ISNUMBER(S10),Q10+IF(R10="No",INDEX('1.Items'!E2:E5,S10),INDEX('1.Items'!D2:D5,S10))," ")," ")</f>
        <v xml:space="preserve"> </v>
      </c>
      <c r="V10" s="28" t="str">
        <f ca="1">IFERROR(IF(ISNUMBER(S10),INDEX('1.Items'!G2:G37,S10 )," ")," ")</f>
        <v xml:space="preserve"> </v>
      </c>
      <c r="W10" s="15" t="str">
        <f ca="1">IFERROR(IF(ISNUMBER(S10),INDEX('1.Items'!F2:F37,S10 )," ")," ")</f>
        <v xml:space="preserve"> </v>
      </c>
      <c r="X10" s="15" t="str">
        <f ca="1">IFERROR(IF(ISNUMBER(S10),INDEX('1.Items'!I2:I37,S10 )," ")," ")</f>
        <v xml:space="preserve"> </v>
      </c>
      <c r="AA10" s="12">
        <v>5</v>
      </c>
      <c r="AB10" s="26"/>
      <c r="AC10" s="27"/>
      <c r="AD10" s="27"/>
      <c r="AE10" s="26"/>
      <c r="AF10" s="28" t="str">
        <f ca="1">IFERROR(MATCH(INDIRECT("AB10"),'1.Items'!$B$2:$B$5, 0)," ")</f>
        <v xml:space="preserve"> </v>
      </c>
      <c r="AG10" s="15" t="str">
        <f ca="1">IFERROR(IF(ISNUMBER(AF10),AC10+IF(AE10="No",INDEX('1.Items'!D2:D5,AF10),INDEX('1.Items'!E2:E5,AF10))," ")," ")</f>
        <v xml:space="preserve"> </v>
      </c>
      <c r="AH10" s="15" t="str">
        <f ca="1">IFERROR(IF(ISNUMBER(AF10),AD10+IF(AE10="No",INDEX('1.Items'!E2:E5,AF10),INDEX('1.Items'!D2:D5,AF10))," ")," ")</f>
        <v xml:space="preserve"> </v>
      </c>
      <c r="AI10" s="28" t="str">
        <f ca="1">IFERROR(IF(ISNUMBER(AF10),INDEX('1.Items'!G2:G37,AF10 )," ")," ")</f>
        <v xml:space="preserve"> </v>
      </c>
      <c r="AJ10" s="15" t="str">
        <f ca="1">IFERROR(IF(ISNUMBER(AF10),INDEX('1.Items'!F2:F37,AF10 )," ")," ")</f>
        <v xml:space="preserve"> </v>
      </c>
      <c r="AK10" s="15" t="str">
        <f ca="1">IFERROR(IF(ISNUMBER(AF10),INDEX('1.Items'!I2:I37,AF10 )," ")," ")</f>
        <v xml:space="preserve"> </v>
      </c>
      <c r="AN10" s="12">
        <v>5</v>
      </c>
      <c r="AO10" s="26"/>
      <c r="AP10" s="27"/>
      <c r="AQ10" s="27"/>
      <c r="AR10" s="26"/>
      <c r="AS10" s="28" t="str">
        <f ca="1">IFERROR(MATCH(INDIRECT("AO10"),'1.Items'!$B$2:$B$5, 0)," ")</f>
        <v xml:space="preserve"> </v>
      </c>
      <c r="AT10" s="15" t="str">
        <f ca="1">IFERROR(IF(ISNUMBER(AS10),AP10+IF(AR10="No",INDEX('1.Items'!D2:D5,AS10),INDEX('1.Items'!E2:E5,AS10))," ")," ")</f>
        <v xml:space="preserve"> </v>
      </c>
      <c r="AU10" s="15" t="str">
        <f ca="1">IFERROR(IF(ISNUMBER(AS10),AQ10+IF(AR10="No",INDEX('1.Items'!E2:E5,AS10),INDEX('1.Items'!D2:D5,AS10))," ")," ")</f>
        <v xml:space="preserve"> </v>
      </c>
      <c r="AV10" s="28" t="str">
        <f ca="1">IFERROR(IF(ISNUMBER(AS10),INDEX('1.Items'!G2:G37,AS10 )," ")," ")</f>
        <v xml:space="preserve"> </v>
      </c>
      <c r="AW10" s="15" t="str">
        <f ca="1">IFERROR(IF(ISNUMBER(AS10),INDEX('1.Items'!F2:F37,AS10 )," ")," ")</f>
        <v xml:space="preserve"> </v>
      </c>
      <c r="AX10" s="15" t="str">
        <f ca="1">IFERROR(IF(ISNUMBER(AS10),INDEX('1.Items'!I2:I37,AS10 )," ")," ")</f>
        <v xml:space="preserve"> </v>
      </c>
      <c r="BA10" s="12">
        <v>5</v>
      </c>
      <c r="BB10" s="26"/>
      <c r="BC10" s="27"/>
      <c r="BD10" s="27"/>
      <c r="BE10" s="26"/>
      <c r="BF10" s="28" t="str">
        <f ca="1">IFERROR(MATCH(INDIRECT("BB10"),'1.Items'!$B$2:$B$5, 0)," ")</f>
        <v xml:space="preserve"> </v>
      </c>
      <c r="BG10" s="15" t="str">
        <f ca="1">IFERROR(IF(ISNUMBER(BF10),BC10+IF(BE10="No",INDEX('1.Items'!D2:D5,BF10),INDEX('1.Items'!E2:E5,BF10))," ")," ")</f>
        <v xml:space="preserve"> </v>
      </c>
      <c r="BH10" s="15" t="str">
        <f ca="1">IFERROR(IF(ISNUMBER(BF10),BD10+IF(BE10="No",INDEX('1.Items'!E2:E5,BF10),INDEX('1.Items'!D2:D5,BF10))," ")," ")</f>
        <v xml:space="preserve"> </v>
      </c>
      <c r="BI10" s="28" t="str">
        <f ca="1">IFERROR(IF(ISNUMBER(BF10),INDEX('1.Items'!G2:G37,BF10 )," ")," ")</f>
        <v xml:space="preserve"> </v>
      </c>
      <c r="BJ10" s="15" t="str">
        <f ca="1">IFERROR(IF(ISNUMBER(BF10),INDEX('1.Items'!F2:F37,BF10 )," ")," ")</f>
        <v xml:space="preserve"> </v>
      </c>
      <c r="BK10" s="15" t="str">
        <f ca="1">IFERROR(IF(ISNUMBER(BF10),INDEX('1.Items'!I2:I37,BF10 )," ")," ")</f>
        <v xml:space="preserve"> </v>
      </c>
      <c r="BN10" s="12">
        <v>5</v>
      </c>
      <c r="BO10" s="26"/>
      <c r="BP10" s="27"/>
      <c r="BQ10" s="27"/>
      <c r="BR10" s="26"/>
      <c r="BS10" s="28" t="str">
        <f ca="1">IFERROR(MATCH(INDIRECT("BO10"),'1.Items'!$B$2:$B$5, 0)," ")</f>
        <v xml:space="preserve"> </v>
      </c>
      <c r="BT10" s="15" t="str">
        <f ca="1">IFERROR(IF(ISNUMBER(BS10),BP10+IF(BR10="No",INDEX('1.Items'!D2:D5,BS10),INDEX('1.Items'!E2:E5,BS10))," ")," ")</f>
        <v xml:space="preserve"> </v>
      </c>
      <c r="BU10" s="15" t="str">
        <f ca="1">IFERROR(IF(ISNUMBER(BS10),BQ10+IF(BR10="No",INDEX('1.Items'!E2:E5,BS10),INDEX('1.Items'!D2:D5,BS10))," ")," ")</f>
        <v xml:space="preserve"> </v>
      </c>
      <c r="BV10" s="28" t="str">
        <f ca="1">IFERROR(IF(ISNUMBER(BS10),INDEX('1.Items'!G2:G37,BS10 )," ")," ")</f>
        <v xml:space="preserve"> </v>
      </c>
      <c r="BW10" s="15" t="str">
        <f ca="1">IFERROR(IF(ISNUMBER(BS10),INDEX('1.Items'!F2:F37,BS10 )," ")," ")</f>
        <v xml:space="preserve"> </v>
      </c>
      <c r="BX10" s="15" t="str">
        <f ca="1">IFERROR(IF(ISNUMBER(BS10),INDEX('1.Items'!I2:I37,BS10 )," ")," ")</f>
        <v xml:space="preserve"> </v>
      </c>
      <c r="CA10" s="12">
        <v>5</v>
      </c>
      <c r="CB10" s="26" t="s">
        <v>60</v>
      </c>
      <c r="CC10" s="27">
        <v>0</v>
      </c>
      <c r="CD10" s="27">
        <v>7</v>
      </c>
      <c r="CE10" s="26" t="s">
        <v>15</v>
      </c>
      <c r="CF10" s="28">
        <f ca="1">IFERROR(MATCH(INDIRECT("CB10"),'1.Items'!$B$2:$B$5, 0)," ")</f>
        <v>4</v>
      </c>
      <c r="CG10" s="15">
        <f ca="1">IFERROR(IF(ISNUMBER(CF10),CC10+IF(CE10="No",INDEX('1.Items'!D2:D5,CF10),INDEX('1.Items'!E2:E5,CF10))," ")," ")</f>
        <v>1</v>
      </c>
      <c r="CH10" s="15">
        <f ca="1">IFERROR(IF(ISNUMBER(CF10),CD10+IF(CE10="No",INDEX('1.Items'!E2:E5,CF10),INDEX('1.Items'!D2:D5,CF10))," ")," ")</f>
        <v>7.5</v>
      </c>
      <c r="CI10" s="28" t="str">
        <f ca="1">IFERROR(IF(ISNUMBER(CF10),INDEX('1.Items'!G2:G37,CF10 )," ")," ")</f>
        <v>No</v>
      </c>
      <c r="CJ10" s="15">
        <f ca="1">IFERROR(IF(ISNUMBER(CF10),INDEX('1.Items'!F2:F37,CF10 )," ")," ")</f>
        <v>0.5</v>
      </c>
      <c r="CK10" s="15">
        <f ca="1">IFERROR(IF(ISNUMBER(CF10),INDEX('1.Items'!I2:I37,CF10 )," ")," ")</f>
        <v>0</v>
      </c>
      <c r="CN10" s="12">
        <v>5</v>
      </c>
      <c r="CO10" s="26" t="s">
        <v>60</v>
      </c>
      <c r="CP10" s="27">
        <v>0</v>
      </c>
      <c r="CQ10" s="27">
        <v>2</v>
      </c>
      <c r="CR10" s="26" t="s">
        <v>15</v>
      </c>
      <c r="CS10" s="28">
        <f ca="1">IFERROR(MATCH(INDIRECT("CO10"),'1.Items'!$B$2:$B$5, 0)," ")</f>
        <v>4</v>
      </c>
      <c r="CT10" s="15">
        <f ca="1">IFERROR(IF(ISNUMBER(CS10),CP10+IF(CR10="No",INDEX('1.Items'!D2:D5,CS10),INDEX('1.Items'!E2:E5,CS10))," ")," ")</f>
        <v>1</v>
      </c>
      <c r="CU10" s="15">
        <f ca="1">IFERROR(IF(ISNUMBER(CS10),CQ10+IF(CR10="No",INDEX('1.Items'!E2:E5,CS10),INDEX('1.Items'!D2:D5,CS10))," ")," ")</f>
        <v>2.5</v>
      </c>
      <c r="CV10" s="28" t="str">
        <f ca="1">IFERROR(IF(ISNUMBER(CS10),INDEX('1.Items'!G2:G37,CS10 )," ")," ")</f>
        <v>No</v>
      </c>
      <c r="CW10" s="15">
        <f ca="1">IFERROR(IF(ISNUMBER(CS10),INDEX('1.Items'!F2:F37,CS10 )," ")," ")</f>
        <v>0.5</v>
      </c>
      <c r="CX10" s="15">
        <f ca="1">IFERROR(IF(ISNUMBER(CS10),INDEX('1.Items'!I2:I37,CS10 )," ")," ")</f>
        <v>0</v>
      </c>
      <c r="DA10" s="12">
        <v>5</v>
      </c>
      <c r="DB10" s="26"/>
      <c r="DC10" s="27"/>
      <c r="DD10" s="27"/>
      <c r="DE10" s="26"/>
      <c r="DF10" s="28" t="str">
        <f ca="1">IFERROR(MATCH(INDIRECT("DB10"),'1.Items'!$B$2:$B$5, 0)," ")</f>
        <v xml:space="preserve"> </v>
      </c>
      <c r="DG10" s="15" t="str">
        <f ca="1">IFERROR(IF(ISNUMBER(DF10),DC10+IF(DE10="No",INDEX('1.Items'!D2:D5,DF10),INDEX('1.Items'!E2:E5,DF10))," ")," ")</f>
        <v xml:space="preserve"> </v>
      </c>
      <c r="DH10" s="15" t="str">
        <f ca="1">IFERROR(IF(ISNUMBER(DF10),DD10+IF(DE10="No",INDEX('1.Items'!E2:E5,DF10),INDEX('1.Items'!D2:D5,DF10))," ")," ")</f>
        <v xml:space="preserve"> </v>
      </c>
      <c r="DI10" s="28" t="str">
        <f ca="1">IFERROR(IF(ISNUMBER(DF10),INDEX('1.Items'!G2:G37,DF10 )," ")," ")</f>
        <v xml:space="preserve"> </v>
      </c>
      <c r="DJ10" s="15" t="str">
        <f ca="1">IFERROR(IF(ISNUMBER(DF10),INDEX('1.Items'!F2:F37,DF10 )," ")," ")</f>
        <v xml:space="preserve"> </v>
      </c>
      <c r="DK10" s="15" t="str">
        <f ca="1">IFERROR(IF(ISNUMBER(DF10),INDEX('1.Items'!I2:I37,DF10 )," ")," ")</f>
        <v xml:space="preserve"> </v>
      </c>
      <c r="EN10" s="10">
        <v>5</v>
      </c>
      <c r="EO10" s="23"/>
      <c r="EP10" s="24"/>
      <c r="EQ10" s="24"/>
      <c r="ER10" s="23"/>
      <c r="ES10" s="25" t="str">
        <f ca="1">IFERROR(MATCH(INDIRECT("EO10"),'1.Items'!$B$2:$B$5, 0)," ")</f>
        <v xml:space="preserve"> </v>
      </c>
      <c r="ET10" s="11" t="str">
        <f ca="1">IFERROR(IF(ISNUMBER(ES10),EP10+IF(ER10="No",INDEX('1.Items'!D2:D5,ES10),INDEX('1.Items'!E2:E5,ES10))," ")," ")</f>
        <v xml:space="preserve"> </v>
      </c>
      <c r="EU10" s="11" t="str">
        <f ca="1">IFERROR(IF(ISNUMBER(ES10),EQ10+IF(ER10="No",INDEX('1.Items'!E2:E5,ES10),INDEX('1.Items'!D2:D5,ES10))," ")," ")</f>
        <v xml:space="preserve"> </v>
      </c>
      <c r="EV10" s="25" t="str">
        <f ca="1">IFERROR(IF(ISNUMBER(ES10),INDEX('1.Items'!G2:G37,ES10 )," ")," ")</f>
        <v xml:space="preserve"> </v>
      </c>
      <c r="EW10" s="11" t="str">
        <f ca="1">IFERROR(IF(ISNUMBER(ES10),INDEX('1.Items'!F2:F37,ES10 )," ")," ")</f>
        <v xml:space="preserve"> </v>
      </c>
      <c r="EX10" s="11" t="str">
        <f ca="1">IFERROR(IF(ISNUMBER(ES10),INDEX('1.Items'!I2:I37,ES10 )," ")," ")</f>
        <v xml:space="preserve"> </v>
      </c>
      <c r="FA10" s="10">
        <v>5</v>
      </c>
      <c r="FB10" s="23"/>
      <c r="FC10" s="24"/>
      <c r="FD10" s="24"/>
      <c r="FE10" s="23"/>
      <c r="FF10" s="25" t="str">
        <f ca="1">IFERROR(MATCH(INDIRECT("FB10"),'1.Items'!$B$2:$B$5, 0)," ")</f>
        <v xml:space="preserve"> </v>
      </c>
      <c r="FG10" s="11" t="str">
        <f ca="1">IFERROR(IF(ISNUMBER(FF10),FC10+IF(FE10="No",INDEX('1.Items'!D2:D5,FF10),INDEX('1.Items'!E2:E5,FF10))," ")," ")</f>
        <v xml:space="preserve"> </v>
      </c>
      <c r="FH10" s="11" t="str">
        <f ca="1">IFERROR(IF(ISNUMBER(FF10),FD10+IF(FE10="No",INDEX('1.Items'!E2:E5,FF10),INDEX('1.Items'!D2:D5,FF10))," ")," ")</f>
        <v xml:space="preserve"> </v>
      </c>
      <c r="FI10" s="25" t="str">
        <f ca="1">IFERROR(IF(ISNUMBER(FF10),INDEX('1.Items'!G2:G37,FF10 )," ")," ")</f>
        <v xml:space="preserve"> </v>
      </c>
      <c r="FJ10" s="11" t="str">
        <f ca="1">IFERROR(IF(ISNUMBER(FF10),INDEX('1.Items'!F2:F37,FF10 )," ")," ")</f>
        <v xml:space="preserve"> </v>
      </c>
      <c r="FK10" s="11" t="str">
        <f ca="1">IFERROR(IF(ISNUMBER(FF10),INDEX('1.Items'!I2:I37,FF10 )," ")," ")</f>
        <v xml:space="preserve"> </v>
      </c>
    </row>
    <row r="11" spans="1:167" x14ac:dyDescent="0.25">
      <c r="A11" s="12">
        <v>6</v>
      </c>
      <c r="B11" s="26"/>
      <c r="C11" s="27"/>
      <c r="D11" s="27"/>
      <c r="E11" s="26"/>
      <c r="F11" s="28" t="str">
        <f ca="1">IFERROR(MATCH(INDIRECT("B11"),'1.Items'!$B$2:$B$5, 0)," ")</f>
        <v xml:space="preserve"> </v>
      </c>
      <c r="G11" s="15" t="str">
        <f ca="1">IFERROR(IF(ISNUMBER(F11),C11+IF(E11="No",INDEX('1.Items'!D2:D5,F11),INDEX('1.Items'!E2:E5,F11))," ")," ")</f>
        <v xml:space="preserve"> </v>
      </c>
      <c r="H11" s="15" t="str">
        <f ca="1">IFERROR(IF(ISNUMBER(F11),D11+IF(E11="No",INDEX('1.Items'!E2:E5,F11),INDEX('1.Items'!D2:D5,F11))," ")," ")</f>
        <v xml:space="preserve"> </v>
      </c>
      <c r="I11" s="28" t="str">
        <f ca="1">IFERROR(IF(ISNUMBER(F11),INDEX('1.Items'!G2:G37,F11 )," ")," ")</f>
        <v xml:space="preserve"> </v>
      </c>
      <c r="J11" s="15" t="str">
        <f ca="1">IFERROR(IF(ISNUMBER(F11),INDEX('1.Items'!F2:F37,F11 )," ")," ")</f>
        <v xml:space="preserve"> </v>
      </c>
      <c r="K11" s="15" t="str">
        <f ca="1">IFERROR(IF(ISNUMBER(F11),INDEX('1.Items'!I2:I37,F11 )," ")," ")</f>
        <v xml:space="preserve"> </v>
      </c>
      <c r="N11" s="12">
        <v>6</v>
      </c>
      <c r="O11" s="26"/>
      <c r="P11" s="27"/>
      <c r="Q11" s="27"/>
      <c r="R11" s="26"/>
      <c r="S11" s="28" t="str">
        <f ca="1">IFERROR(MATCH(INDIRECT("O11"),'1.Items'!$B$2:$B$5, 0)," ")</f>
        <v xml:space="preserve"> </v>
      </c>
      <c r="T11" s="15" t="str">
        <f ca="1">IFERROR(IF(ISNUMBER(S11),P11+IF(R11="No",INDEX('1.Items'!D2:D5,S11),INDEX('1.Items'!E2:E5,S11))," ")," ")</f>
        <v xml:space="preserve"> </v>
      </c>
      <c r="U11" s="15" t="str">
        <f ca="1">IFERROR(IF(ISNUMBER(S11),Q11+IF(R11="No",INDEX('1.Items'!E2:E5,S11),INDEX('1.Items'!D2:D5,S11))," ")," ")</f>
        <v xml:space="preserve"> </v>
      </c>
      <c r="V11" s="28" t="str">
        <f ca="1">IFERROR(IF(ISNUMBER(S11),INDEX('1.Items'!G2:G37,S11 )," ")," ")</f>
        <v xml:space="preserve"> </v>
      </c>
      <c r="W11" s="15" t="str">
        <f ca="1">IFERROR(IF(ISNUMBER(S11),INDEX('1.Items'!F2:F37,S11 )," ")," ")</f>
        <v xml:space="preserve"> </v>
      </c>
      <c r="X11" s="15" t="str">
        <f ca="1">IFERROR(IF(ISNUMBER(S11),INDEX('1.Items'!I2:I37,S11 )," ")," ")</f>
        <v xml:space="preserve"> </v>
      </c>
      <c r="AA11" s="12">
        <v>6</v>
      </c>
      <c r="AB11" s="26"/>
      <c r="AC11" s="27"/>
      <c r="AD11" s="27"/>
      <c r="AE11" s="26"/>
      <c r="AF11" s="28" t="str">
        <f ca="1">IFERROR(MATCH(INDIRECT("AB11"),'1.Items'!$B$2:$B$5, 0)," ")</f>
        <v xml:space="preserve"> </v>
      </c>
      <c r="AG11" s="15" t="str">
        <f ca="1">IFERROR(IF(ISNUMBER(AF11),AC11+IF(AE11="No",INDEX('1.Items'!D2:D5,AF11),INDEX('1.Items'!E2:E5,AF11))," ")," ")</f>
        <v xml:space="preserve"> </v>
      </c>
      <c r="AH11" s="15" t="str">
        <f ca="1">IFERROR(IF(ISNUMBER(AF11),AD11+IF(AE11="No",INDEX('1.Items'!E2:E5,AF11),INDEX('1.Items'!D2:D5,AF11))," ")," ")</f>
        <v xml:space="preserve"> </v>
      </c>
      <c r="AI11" s="28" t="str">
        <f ca="1">IFERROR(IF(ISNUMBER(AF11),INDEX('1.Items'!G2:G37,AF11 )," ")," ")</f>
        <v xml:space="preserve"> </v>
      </c>
      <c r="AJ11" s="15" t="str">
        <f ca="1">IFERROR(IF(ISNUMBER(AF11),INDEX('1.Items'!F2:F37,AF11 )," ")," ")</f>
        <v xml:space="preserve"> </v>
      </c>
      <c r="AK11" s="15" t="str">
        <f ca="1">IFERROR(IF(ISNUMBER(AF11),INDEX('1.Items'!I2:I37,AF11 )," ")," ")</f>
        <v xml:space="preserve"> </v>
      </c>
      <c r="AN11" s="12">
        <v>6</v>
      </c>
      <c r="AO11" s="26"/>
      <c r="AP11" s="27"/>
      <c r="AQ11" s="27"/>
      <c r="AR11" s="26"/>
      <c r="AS11" s="28" t="str">
        <f ca="1">IFERROR(MATCH(INDIRECT("AO11"),'1.Items'!$B$2:$B$5, 0)," ")</f>
        <v xml:space="preserve"> </v>
      </c>
      <c r="AT11" s="15" t="str">
        <f ca="1">IFERROR(IF(ISNUMBER(AS11),AP11+IF(AR11="No",INDEX('1.Items'!D2:D5,AS11),INDEX('1.Items'!E2:E5,AS11))," ")," ")</f>
        <v xml:space="preserve"> </v>
      </c>
      <c r="AU11" s="15" t="str">
        <f ca="1">IFERROR(IF(ISNUMBER(AS11),AQ11+IF(AR11="No",INDEX('1.Items'!E2:E5,AS11),INDEX('1.Items'!D2:D5,AS11))," ")," ")</f>
        <v xml:space="preserve"> </v>
      </c>
      <c r="AV11" s="28" t="str">
        <f ca="1">IFERROR(IF(ISNUMBER(AS11),INDEX('1.Items'!G2:G37,AS11 )," ")," ")</f>
        <v xml:space="preserve"> </v>
      </c>
      <c r="AW11" s="15" t="str">
        <f ca="1">IFERROR(IF(ISNUMBER(AS11),INDEX('1.Items'!F2:F37,AS11 )," ")," ")</f>
        <v xml:space="preserve"> </v>
      </c>
      <c r="AX11" s="15" t="str">
        <f ca="1">IFERROR(IF(ISNUMBER(AS11),INDEX('1.Items'!I2:I37,AS11 )," ")," ")</f>
        <v xml:space="preserve"> </v>
      </c>
      <c r="BA11" s="12">
        <v>6</v>
      </c>
      <c r="BB11" s="26"/>
      <c r="BC11" s="27"/>
      <c r="BD11" s="27"/>
      <c r="BE11" s="26"/>
      <c r="BF11" s="28" t="str">
        <f ca="1">IFERROR(MATCH(INDIRECT("BB11"),'1.Items'!$B$2:$B$5, 0)," ")</f>
        <v xml:space="preserve"> </v>
      </c>
      <c r="BG11" s="15" t="str">
        <f ca="1">IFERROR(IF(ISNUMBER(BF11),BC11+IF(BE11="No",INDEX('1.Items'!D2:D5,BF11),INDEX('1.Items'!E2:E5,BF11))," ")," ")</f>
        <v xml:space="preserve"> </v>
      </c>
      <c r="BH11" s="15" t="str">
        <f ca="1">IFERROR(IF(ISNUMBER(BF11),BD11+IF(BE11="No",INDEX('1.Items'!E2:E5,BF11),INDEX('1.Items'!D2:D5,BF11))," ")," ")</f>
        <v xml:space="preserve"> </v>
      </c>
      <c r="BI11" s="28" t="str">
        <f ca="1">IFERROR(IF(ISNUMBER(BF11),INDEX('1.Items'!G2:G37,BF11 )," ")," ")</f>
        <v xml:space="preserve"> </v>
      </c>
      <c r="BJ11" s="15" t="str">
        <f ca="1">IFERROR(IF(ISNUMBER(BF11),INDEX('1.Items'!F2:F37,BF11 )," ")," ")</f>
        <v xml:space="preserve"> </v>
      </c>
      <c r="BK11" s="15" t="str">
        <f ca="1">IFERROR(IF(ISNUMBER(BF11),INDEX('1.Items'!I2:I37,BF11 )," ")," ")</f>
        <v xml:space="preserve"> </v>
      </c>
      <c r="BN11" s="12">
        <v>6</v>
      </c>
      <c r="BO11" s="26"/>
      <c r="BP11" s="27"/>
      <c r="BQ11" s="27"/>
      <c r="BR11" s="26"/>
      <c r="BS11" s="28" t="str">
        <f ca="1">IFERROR(MATCH(INDIRECT("BO11"),'1.Items'!$B$2:$B$5, 0)," ")</f>
        <v xml:space="preserve"> </v>
      </c>
      <c r="BT11" s="15" t="str">
        <f ca="1">IFERROR(IF(ISNUMBER(BS11),BP11+IF(BR11="No",INDEX('1.Items'!D2:D5,BS11),INDEX('1.Items'!E2:E5,BS11))," ")," ")</f>
        <v xml:space="preserve"> </v>
      </c>
      <c r="BU11" s="15" t="str">
        <f ca="1">IFERROR(IF(ISNUMBER(BS11),BQ11+IF(BR11="No",INDEX('1.Items'!E2:E5,BS11),INDEX('1.Items'!D2:D5,BS11))," ")," ")</f>
        <v xml:space="preserve"> </v>
      </c>
      <c r="BV11" s="28" t="str">
        <f ca="1">IFERROR(IF(ISNUMBER(BS11),INDEX('1.Items'!G2:G37,BS11 )," ")," ")</f>
        <v xml:space="preserve"> </v>
      </c>
      <c r="BW11" s="15" t="str">
        <f ca="1">IFERROR(IF(ISNUMBER(BS11),INDEX('1.Items'!F2:F37,BS11 )," ")," ")</f>
        <v xml:space="preserve"> </v>
      </c>
      <c r="BX11" s="15" t="str">
        <f ca="1">IFERROR(IF(ISNUMBER(BS11),INDEX('1.Items'!I2:I37,BS11 )," ")," ")</f>
        <v xml:space="preserve"> </v>
      </c>
      <c r="CA11" s="12">
        <v>6</v>
      </c>
      <c r="CB11" s="26"/>
      <c r="CC11" s="27"/>
      <c r="CD11" s="27"/>
      <c r="CE11" s="26"/>
      <c r="CF11" s="28" t="str">
        <f ca="1">IFERROR(MATCH(INDIRECT("CB11"),'1.Items'!$B$2:$B$5, 0)," ")</f>
        <v xml:space="preserve"> </v>
      </c>
      <c r="CG11" s="15" t="str">
        <f ca="1">IFERROR(IF(ISNUMBER(CF11),CC11+IF(CE11="No",INDEX('1.Items'!D2:D5,CF11),INDEX('1.Items'!E2:E5,CF11))," ")," ")</f>
        <v xml:space="preserve"> </v>
      </c>
      <c r="CH11" s="15" t="str">
        <f ca="1">IFERROR(IF(ISNUMBER(CF11),CD11+IF(CE11="No",INDEX('1.Items'!E2:E5,CF11),INDEX('1.Items'!D2:D5,CF11))," ")," ")</f>
        <v xml:space="preserve"> </v>
      </c>
      <c r="CI11" s="28" t="str">
        <f ca="1">IFERROR(IF(ISNUMBER(CF11),INDEX('1.Items'!G2:G37,CF11 )," ")," ")</f>
        <v xml:space="preserve"> </v>
      </c>
      <c r="CJ11" s="15" t="str">
        <f ca="1">IFERROR(IF(ISNUMBER(CF11),INDEX('1.Items'!F2:F37,CF11 )," ")," ")</f>
        <v xml:space="preserve"> </v>
      </c>
      <c r="CK11" s="15" t="str">
        <f ca="1">IFERROR(IF(ISNUMBER(CF11),INDEX('1.Items'!I2:I37,CF11 )," ")," ")</f>
        <v xml:space="preserve"> </v>
      </c>
      <c r="CN11" s="10">
        <v>6</v>
      </c>
      <c r="CO11" s="23"/>
      <c r="CP11" s="24"/>
      <c r="CQ11" s="24"/>
      <c r="CR11" s="23"/>
      <c r="CS11" s="25" t="str">
        <f ca="1">IFERROR(MATCH(INDIRECT("CO11"),'1.Items'!$B$2:$B$5, 0)," ")</f>
        <v xml:space="preserve"> </v>
      </c>
      <c r="CT11" s="11" t="str">
        <f ca="1">IFERROR(IF(ISNUMBER(CS11),CP11+IF(CR11="No",INDEX('1.Items'!D2:D5,CS11),INDEX('1.Items'!E2:E5,CS11))," ")," ")</f>
        <v xml:space="preserve"> </v>
      </c>
      <c r="CU11" s="11" t="str">
        <f ca="1">IFERROR(IF(ISNUMBER(CS11),CQ11+IF(CR11="No",INDEX('1.Items'!E2:E5,CS11),INDEX('1.Items'!D2:D5,CS11))," ")," ")</f>
        <v xml:space="preserve"> </v>
      </c>
      <c r="CV11" s="25" t="str">
        <f ca="1">IFERROR(IF(ISNUMBER(CS11),INDEX('1.Items'!G2:G37,CS11 )," ")," ")</f>
        <v xml:space="preserve"> </v>
      </c>
      <c r="CW11" s="11" t="str">
        <f ca="1">IFERROR(IF(ISNUMBER(CS11),INDEX('1.Items'!F2:F37,CS11 )," ")," ")</f>
        <v xml:space="preserve"> </v>
      </c>
      <c r="CX11" s="11" t="str">
        <f ca="1">IFERROR(IF(ISNUMBER(CS11),INDEX('1.Items'!I2:I37,CS11 )," ")," ")</f>
        <v xml:space="preserve"> </v>
      </c>
      <c r="DA11" s="10">
        <v>6</v>
      </c>
      <c r="DB11" s="23"/>
      <c r="DC11" s="24"/>
      <c r="DD11" s="24"/>
      <c r="DE11" s="23"/>
      <c r="DF11" s="25" t="str">
        <f ca="1">IFERROR(MATCH(INDIRECT("DB11"),'1.Items'!$B$2:$B$5, 0)," ")</f>
        <v xml:space="preserve"> </v>
      </c>
      <c r="DG11" s="11" t="str">
        <f ca="1">IFERROR(IF(ISNUMBER(DF11),DC11+IF(DE11="No",INDEX('1.Items'!D2:D5,DF11),INDEX('1.Items'!E2:E5,DF11))," ")," ")</f>
        <v xml:space="preserve"> </v>
      </c>
      <c r="DH11" s="11" t="str">
        <f ca="1">IFERROR(IF(ISNUMBER(DF11),DD11+IF(DE11="No",INDEX('1.Items'!E2:E5,DF11),INDEX('1.Items'!D2:D5,DF11))," ")," ")</f>
        <v xml:space="preserve"> </v>
      </c>
      <c r="DI11" s="25" t="str">
        <f ca="1">IFERROR(IF(ISNUMBER(DF11),INDEX('1.Items'!G2:G37,DF11 )," ")," ")</f>
        <v xml:space="preserve"> </v>
      </c>
      <c r="DJ11" s="11" t="str">
        <f ca="1">IFERROR(IF(ISNUMBER(DF11),INDEX('1.Items'!F2:F37,DF11 )," ")," ")</f>
        <v xml:space="preserve"> </v>
      </c>
      <c r="DK11" s="11" t="str">
        <f ca="1">IFERROR(IF(ISNUMBER(DF11),INDEX('1.Items'!I2:I37,DF11 )," ")," ")</f>
        <v xml:space="preserve"> </v>
      </c>
    </row>
    <row r="12" spans="1:167" x14ac:dyDescent="0.25">
      <c r="A12" s="12">
        <v>7</v>
      </c>
      <c r="B12" s="26"/>
      <c r="C12" s="27"/>
      <c r="D12" s="27"/>
      <c r="E12" s="26"/>
      <c r="F12" s="28" t="str">
        <f ca="1">IFERROR(MATCH(INDIRECT("B12"),'1.Items'!$B$2:$B$5, 0)," ")</f>
        <v xml:space="preserve"> </v>
      </c>
      <c r="G12" s="15" t="str">
        <f ca="1">IFERROR(IF(ISNUMBER(F12),C12+IF(E12="No",INDEX('1.Items'!D2:D5,F12),INDEX('1.Items'!E2:E5,F12))," ")," ")</f>
        <v xml:space="preserve"> </v>
      </c>
      <c r="H12" s="15" t="str">
        <f ca="1">IFERROR(IF(ISNUMBER(F12),D12+IF(E12="No",INDEX('1.Items'!E2:E5,F12),INDEX('1.Items'!D2:D5,F12))," ")," ")</f>
        <v xml:space="preserve"> </v>
      </c>
      <c r="I12" s="28" t="str">
        <f ca="1">IFERROR(IF(ISNUMBER(F12),INDEX('1.Items'!G2:G37,F12 )," ")," ")</f>
        <v xml:space="preserve"> </v>
      </c>
      <c r="J12" s="15" t="str">
        <f ca="1">IFERROR(IF(ISNUMBER(F12),INDEX('1.Items'!F2:F37,F12 )," ")," ")</f>
        <v xml:space="preserve"> </v>
      </c>
      <c r="K12" s="15" t="str">
        <f ca="1">IFERROR(IF(ISNUMBER(F12),INDEX('1.Items'!I2:I37,F12 )," ")," ")</f>
        <v xml:space="preserve"> </v>
      </c>
      <c r="N12" s="12">
        <v>7</v>
      </c>
      <c r="O12" s="26"/>
      <c r="P12" s="27"/>
      <c r="Q12" s="27"/>
      <c r="R12" s="26"/>
      <c r="S12" s="28" t="str">
        <f ca="1">IFERROR(MATCH(INDIRECT("O12"),'1.Items'!$B$2:$B$5, 0)," ")</f>
        <v xml:space="preserve"> </v>
      </c>
      <c r="T12" s="15" t="str">
        <f ca="1">IFERROR(IF(ISNUMBER(S12),P12+IF(R12="No",INDEX('1.Items'!D2:D5,S12),INDEX('1.Items'!E2:E5,S12))," ")," ")</f>
        <v xml:space="preserve"> </v>
      </c>
      <c r="U12" s="15" t="str">
        <f ca="1">IFERROR(IF(ISNUMBER(S12),Q12+IF(R12="No",INDEX('1.Items'!E2:E5,S12),INDEX('1.Items'!D2:D5,S12))," ")," ")</f>
        <v xml:space="preserve"> </v>
      </c>
      <c r="V12" s="28" t="str">
        <f ca="1">IFERROR(IF(ISNUMBER(S12),INDEX('1.Items'!G2:G37,S12 )," ")," ")</f>
        <v xml:space="preserve"> </v>
      </c>
      <c r="W12" s="15" t="str">
        <f ca="1">IFERROR(IF(ISNUMBER(S12),INDEX('1.Items'!F2:F37,S12 )," ")," ")</f>
        <v xml:space="preserve"> </v>
      </c>
      <c r="X12" s="15" t="str">
        <f ca="1">IFERROR(IF(ISNUMBER(S12),INDEX('1.Items'!I2:I37,S12 )," ")," ")</f>
        <v xml:space="preserve"> </v>
      </c>
      <c r="AA12" s="12">
        <v>7</v>
      </c>
      <c r="AB12" s="26"/>
      <c r="AC12" s="27"/>
      <c r="AD12" s="27"/>
      <c r="AE12" s="26"/>
      <c r="AF12" s="28" t="str">
        <f ca="1">IFERROR(MATCH(INDIRECT("AB12"),'1.Items'!$B$2:$B$5, 0)," ")</f>
        <v xml:space="preserve"> </v>
      </c>
      <c r="AG12" s="15" t="str">
        <f ca="1">IFERROR(IF(ISNUMBER(AF12),AC12+IF(AE12="No",INDEX('1.Items'!D2:D5,AF12),INDEX('1.Items'!E2:E5,AF12))," ")," ")</f>
        <v xml:space="preserve"> </v>
      </c>
      <c r="AH12" s="15" t="str">
        <f ca="1">IFERROR(IF(ISNUMBER(AF12),AD12+IF(AE12="No",INDEX('1.Items'!E2:E5,AF12),INDEX('1.Items'!D2:D5,AF12))," ")," ")</f>
        <v xml:space="preserve"> </v>
      </c>
      <c r="AI12" s="28" t="str">
        <f ca="1">IFERROR(IF(ISNUMBER(AF12),INDEX('1.Items'!G2:G37,AF12 )," ")," ")</f>
        <v xml:space="preserve"> </v>
      </c>
      <c r="AJ12" s="15" t="str">
        <f ca="1">IFERROR(IF(ISNUMBER(AF12),INDEX('1.Items'!F2:F37,AF12 )," ")," ")</f>
        <v xml:space="preserve"> </v>
      </c>
      <c r="AK12" s="15" t="str">
        <f ca="1">IFERROR(IF(ISNUMBER(AF12),INDEX('1.Items'!I2:I37,AF12 )," ")," ")</f>
        <v xml:space="preserve"> </v>
      </c>
      <c r="AN12" s="12">
        <v>7</v>
      </c>
      <c r="AO12" s="26"/>
      <c r="AP12" s="27"/>
      <c r="AQ12" s="27"/>
      <c r="AR12" s="26"/>
      <c r="AS12" s="28" t="str">
        <f ca="1">IFERROR(MATCH(INDIRECT("AO12"),'1.Items'!$B$2:$B$5, 0)," ")</f>
        <v xml:space="preserve"> </v>
      </c>
      <c r="AT12" s="15" t="str">
        <f ca="1">IFERROR(IF(ISNUMBER(AS12),AP12+IF(AR12="No",INDEX('1.Items'!D2:D5,AS12),INDEX('1.Items'!E2:E5,AS12))," ")," ")</f>
        <v xml:space="preserve"> </v>
      </c>
      <c r="AU12" s="15" t="str">
        <f ca="1">IFERROR(IF(ISNUMBER(AS12),AQ12+IF(AR12="No",INDEX('1.Items'!E2:E5,AS12),INDEX('1.Items'!D2:D5,AS12))," ")," ")</f>
        <v xml:space="preserve"> </v>
      </c>
      <c r="AV12" s="28" t="str">
        <f ca="1">IFERROR(IF(ISNUMBER(AS12),INDEX('1.Items'!G2:G37,AS12 )," ")," ")</f>
        <v xml:space="preserve"> </v>
      </c>
      <c r="AW12" s="15" t="str">
        <f ca="1">IFERROR(IF(ISNUMBER(AS12),INDEX('1.Items'!F2:F37,AS12 )," ")," ")</f>
        <v xml:space="preserve"> </v>
      </c>
      <c r="AX12" s="15" t="str">
        <f ca="1">IFERROR(IF(ISNUMBER(AS12),INDEX('1.Items'!I2:I37,AS12 )," ")," ")</f>
        <v xml:space="preserve"> </v>
      </c>
      <c r="BA12" s="12">
        <v>7</v>
      </c>
      <c r="BB12" s="26"/>
      <c r="BC12" s="27"/>
      <c r="BD12" s="27"/>
      <c r="BE12" s="26"/>
      <c r="BF12" s="28" t="str">
        <f ca="1">IFERROR(MATCH(INDIRECT("BB12"),'1.Items'!$B$2:$B$5, 0)," ")</f>
        <v xml:space="preserve"> </v>
      </c>
      <c r="BG12" s="15" t="str">
        <f ca="1">IFERROR(IF(ISNUMBER(BF12),BC12+IF(BE12="No",INDEX('1.Items'!D2:D5,BF12),INDEX('1.Items'!E2:E5,BF12))," ")," ")</f>
        <v xml:space="preserve"> </v>
      </c>
      <c r="BH12" s="15" t="str">
        <f ca="1">IFERROR(IF(ISNUMBER(BF12),BD12+IF(BE12="No",INDEX('1.Items'!E2:E5,BF12),INDEX('1.Items'!D2:D5,BF12))," ")," ")</f>
        <v xml:space="preserve"> </v>
      </c>
      <c r="BI12" s="28" t="str">
        <f ca="1">IFERROR(IF(ISNUMBER(BF12),INDEX('1.Items'!G2:G37,BF12 )," ")," ")</f>
        <v xml:space="preserve"> </v>
      </c>
      <c r="BJ12" s="15" t="str">
        <f ca="1">IFERROR(IF(ISNUMBER(BF12),INDEX('1.Items'!F2:F37,BF12 )," ")," ")</f>
        <v xml:space="preserve"> </v>
      </c>
      <c r="BK12" s="15" t="str">
        <f ca="1">IFERROR(IF(ISNUMBER(BF12),INDEX('1.Items'!I2:I37,BF12 )," ")," ")</f>
        <v xml:space="preserve"> </v>
      </c>
      <c r="BN12" s="12">
        <v>7</v>
      </c>
      <c r="BO12" s="26"/>
      <c r="BP12" s="27"/>
      <c r="BQ12" s="27"/>
      <c r="BR12" s="26"/>
      <c r="BS12" s="28" t="str">
        <f ca="1">IFERROR(MATCH(INDIRECT("BO12"),'1.Items'!$B$2:$B$5, 0)," ")</f>
        <v xml:space="preserve"> </v>
      </c>
      <c r="BT12" s="15" t="str">
        <f ca="1">IFERROR(IF(ISNUMBER(BS12),BP12+IF(BR12="No",INDEX('1.Items'!D2:D5,BS12),INDEX('1.Items'!E2:E5,BS12))," ")," ")</f>
        <v xml:space="preserve"> </v>
      </c>
      <c r="BU12" s="15" t="str">
        <f ca="1">IFERROR(IF(ISNUMBER(BS12),BQ12+IF(BR12="No",INDEX('1.Items'!E2:E5,BS12),INDEX('1.Items'!D2:D5,BS12))," ")," ")</f>
        <v xml:space="preserve"> </v>
      </c>
      <c r="BV12" s="28" t="str">
        <f ca="1">IFERROR(IF(ISNUMBER(BS12),INDEX('1.Items'!G2:G37,BS12 )," ")," ")</f>
        <v xml:space="preserve"> </v>
      </c>
      <c r="BW12" s="15" t="str">
        <f ca="1">IFERROR(IF(ISNUMBER(BS12),INDEX('1.Items'!F2:F37,BS12 )," ")," ")</f>
        <v xml:space="preserve"> </v>
      </c>
      <c r="BX12" s="15" t="str">
        <f ca="1">IFERROR(IF(ISNUMBER(BS12),INDEX('1.Items'!I2:I37,BS12 )," ")," ")</f>
        <v xml:space="preserve"> </v>
      </c>
      <c r="CA12" s="12">
        <v>7</v>
      </c>
      <c r="CB12" s="26"/>
      <c r="CC12" s="27"/>
      <c r="CD12" s="27"/>
      <c r="CE12" s="26"/>
      <c r="CF12" s="28" t="str">
        <f ca="1">IFERROR(MATCH(INDIRECT("CB12"),'1.Items'!$B$2:$B$5, 0)," ")</f>
        <v xml:space="preserve"> </v>
      </c>
      <c r="CG12" s="15" t="str">
        <f ca="1">IFERROR(IF(ISNUMBER(CF12),CC12+IF(CE12="No",INDEX('1.Items'!D2:D5,CF12),INDEX('1.Items'!E2:E5,CF12))," ")," ")</f>
        <v xml:space="preserve"> </v>
      </c>
      <c r="CH12" s="15" t="str">
        <f ca="1">IFERROR(IF(ISNUMBER(CF12),CD12+IF(CE12="No",INDEX('1.Items'!E2:E5,CF12),INDEX('1.Items'!D2:D5,CF12))," ")," ")</f>
        <v xml:space="preserve"> </v>
      </c>
      <c r="CI12" s="28" t="str">
        <f ca="1">IFERROR(IF(ISNUMBER(CF12),INDEX('1.Items'!G2:G37,CF12 )," ")," ")</f>
        <v xml:space="preserve"> </v>
      </c>
      <c r="CJ12" s="15" t="str">
        <f ca="1">IFERROR(IF(ISNUMBER(CF12),INDEX('1.Items'!F2:F37,CF12 )," ")," ")</f>
        <v xml:space="preserve"> </v>
      </c>
      <c r="CK12" s="15" t="str">
        <f ca="1">IFERROR(IF(ISNUMBER(CF12),INDEX('1.Items'!I2:I37,CF12 )," ")," ")</f>
        <v xml:space="preserve"> </v>
      </c>
    </row>
    <row r="13" spans="1:167" x14ac:dyDescent="0.25">
      <c r="A13" s="12">
        <v>8</v>
      </c>
      <c r="B13" s="26"/>
      <c r="C13" s="27"/>
      <c r="D13" s="27"/>
      <c r="E13" s="26"/>
      <c r="F13" s="28" t="str">
        <f ca="1">IFERROR(MATCH(INDIRECT("B13"),'1.Items'!$B$2:$B$5, 0)," ")</f>
        <v xml:space="preserve"> </v>
      </c>
      <c r="G13" s="15" t="str">
        <f ca="1">IFERROR(IF(ISNUMBER(F13),C13+IF(E13="No",INDEX('1.Items'!D2:D5,F13),INDEX('1.Items'!E2:E5,F13))," ")," ")</f>
        <v xml:space="preserve"> </v>
      </c>
      <c r="H13" s="15" t="str">
        <f ca="1">IFERROR(IF(ISNUMBER(F13),D13+IF(E13="No",INDEX('1.Items'!E2:E5,F13),INDEX('1.Items'!D2:D5,F13))," ")," ")</f>
        <v xml:space="preserve"> </v>
      </c>
      <c r="I13" s="28" t="str">
        <f ca="1">IFERROR(IF(ISNUMBER(F13),INDEX('1.Items'!G2:G37,F13 )," ")," ")</f>
        <v xml:space="preserve"> </v>
      </c>
      <c r="J13" s="15" t="str">
        <f ca="1">IFERROR(IF(ISNUMBER(F13),INDEX('1.Items'!F2:F37,F13 )," ")," ")</f>
        <v xml:space="preserve"> </v>
      </c>
      <c r="K13" s="15" t="str">
        <f ca="1">IFERROR(IF(ISNUMBER(F13),INDEX('1.Items'!I2:I37,F13 )," ")," ")</f>
        <v xml:space="preserve"> </v>
      </c>
      <c r="N13" s="12">
        <v>8</v>
      </c>
      <c r="O13" s="26"/>
      <c r="P13" s="27"/>
      <c r="Q13" s="27"/>
      <c r="R13" s="26"/>
      <c r="S13" s="28" t="str">
        <f ca="1">IFERROR(MATCH(INDIRECT("O13"),'1.Items'!$B$2:$B$5, 0)," ")</f>
        <v xml:space="preserve"> </v>
      </c>
      <c r="T13" s="15" t="str">
        <f ca="1">IFERROR(IF(ISNUMBER(S13),P13+IF(R13="No",INDEX('1.Items'!D2:D5,S13),INDEX('1.Items'!E2:E5,S13))," ")," ")</f>
        <v xml:space="preserve"> </v>
      </c>
      <c r="U13" s="15" t="str">
        <f ca="1">IFERROR(IF(ISNUMBER(S13),Q13+IF(R13="No",INDEX('1.Items'!E2:E5,S13),INDEX('1.Items'!D2:D5,S13))," ")," ")</f>
        <v xml:space="preserve"> </v>
      </c>
      <c r="V13" s="28" t="str">
        <f ca="1">IFERROR(IF(ISNUMBER(S13),INDEX('1.Items'!G2:G37,S13 )," ")," ")</f>
        <v xml:space="preserve"> </v>
      </c>
      <c r="W13" s="15" t="str">
        <f ca="1">IFERROR(IF(ISNUMBER(S13),INDEX('1.Items'!F2:F37,S13 )," ")," ")</f>
        <v xml:space="preserve"> </v>
      </c>
      <c r="X13" s="15" t="str">
        <f ca="1">IFERROR(IF(ISNUMBER(S13),INDEX('1.Items'!I2:I37,S13 )," ")," ")</f>
        <v xml:space="preserve"> </v>
      </c>
      <c r="AA13" s="12">
        <v>8</v>
      </c>
      <c r="AB13" s="26"/>
      <c r="AC13" s="27"/>
      <c r="AD13" s="27"/>
      <c r="AE13" s="26"/>
      <c r="AF13" s="28" t="str">
        <f ca="1">IFERROR(MATCH(INDIRECT("AB13"),'1.Items'!$B$2:$B$5, 0)," ")</f>
        <v xml:space="preserve"> </v>
      </c>
      <c r="AG13" s="15" t="str">
        <f ca="1">IFERROR(IF(ISNUMBER(AF13),AC13+IF(AE13="No",INDEX('1.Items'!D2:D5,AF13),INDEX('1.Items'!E2:E5,AF13))," ")," ")</f>
        <v xml:space="preserve"> </v>
      </c>
      <c r="AH13" s="15" t="str">
        <f ca="1">IFERROR(IF(ISNUMBER(AF13),AD13+IF(AE13="No",INDEX('1.Items'!E2:E5,AF13),INDEX('1.Items'!D2:D5,AF13))," ")," ")</f>
        <v xml:space="preserve"> </v>
      </c>
      <c r="AI13" s="28" t="str">
        <f ca="1">IFERROR(IF(ISNUMBER(AF13),INDEX('1.Items'!G2:G37,AF13 )," ")," ")</f>
        <v xml:space="preserve"> </v>
      </c>
      <c r="AJ13" s="15" t="str">
        <f ca="1">IFERROR(IF(ISNUMBER(AF13),INDEX('1.Items'!F2:F37,AF13 )," ")," ")</f>
        <v xml:space="preserve"> </v>
      </c>
      <c r="AK13" s="15" t="str">
        <f ca="1">IFERROR(IF(ISNUMBER(AF13),INDEX('1.Items'!I2:I37,AF13 )," ")," ")</f>
        <v xml:space="preserve"> </v>
      </c>
      <c r="AN13" s="12">
        <v>8</v>
      </c>
      <c r="AO13" s="26"/>
      <c r="AP13" s="27"/>
      <c r="AQ13" s="27"/>
      <c r="AR13" s="26"/>
      <c r="AS13" s="28" t="str">
        <f ca="1">IFERROR(MATCH(INDIRECT("AO13"),'1.Items'!$B$2:$B$5, 0)," ")</f>
        <v xml:space="preserve"> </v>
      </c>
      <c r="AT13" s="15" t="str">
        <f ca="1">IFERROR(IF(ISNUMBER(AS13),AP13+IF(AR13="No",INDEX('1.Items'!D2:D5,AS13),INDEX('1.Items'!E2:E5,AS13))," ")," ")</f>
        <v xml:space="preserve"> </v>
      </c>
      <c r="AU13" s="15" t="str">
        <f ca="1">IFERROR(IF(ISNUMBER(AS13),AQ13+IF(AR13="No",INDEX('1.Items'!E2:E5,AS13),INDEX('1.Items'!D2:D5,AS13))," ")," ")</f>
        <v xml:space="preserve"> </v>
      </c>
      <c r="AV13" s="28" t="str">
        <f ca="1">IFERROR(IF(ISNUMBER(AS13),INDEX('1.Items'!G2:G37,AS13 )," ")," ")</f>
        <v xml:space="preserve"> </v>
      </c>
      <c r="AW13" s="15" t="str">
        <f ca="1">IFERROR(IF(ISNUMBER(AS13),INDEX('1.Items'!F2:F37,AS13 )," ")," ")</f>
        <v xml:space="preserve"> </v>
      </c>
      <c r="AX13" s="15" t="str">
        <f ca="1">IFERROR(IF(ISNUMBER(AS13),INDEX('1.Items'!I2:I37,AS13 )," ")," ")</f>
        <v xml:space="preserve"> </v>
      </c>
      <c r="BA13" s="12">
        <v>8</v>
      </c>
      <c r="BB13" s="26"/>
      <c r="BC13" s="27"/>
      <c r="BD13" s="27"/>
      <c r="BE13" s="26"/>
      <c r="BF13" s="28" t="str">
        <f ca="1">IFERROR(MATCH(INDIRECT("BB13"),'1.Items'!$B$2:$B$5, 0)," ")</f>
        <v xml:space="preserve"> </v>
      </c>
      <c r="BG13" s="15" t="str">
        <f ca="1">IFERROR(IF(ISNUMBER(BF13),BC13+IF(BE13="No",INDEX('1.Items'!D2:D5,BF13),INDEX('1.Items'!E2:E5,BF13))," ")," ")</f>
        <v xml:space="preserve"> </v>
      </c>
      <c r="BH13" s="15" t="str">
        <f ca="1">IFERROR(IF(ISNUMBER(BF13),BD13+IF(BE13="No",INDEX('1.Items'!E2:E5,BF13),INDEX('1.Items'!D2:D5,BF13))," ")," ")</f>
        <v xml:space="preserve"> </v>
      </c>
      <c r="BI13" s="28" t="str">
        <f ca="1">IFERROR(IF(ISNUMBER(BF13),INDEX('1.Items'!G2:G37,BF13 )," ")," ")</f>
        <v xml:space="preserve"> </v>
      </c>
      <c r="BJ13" s="15" t="str">
        <f ca="1">IFERROR(IF(ISNUMBER(BF13),INDEX('1.Items'!F2:F37,BF13 )," ")," ")</f>
        <v xml:space="preserve"> </v>
      </c>
      <c r="BK13" s="15" t="str">
        <f ca="1">IFERROR(IF(ISNUMBER(BF13),INDEX('1.Items'!I2:I37,BF13 )," ")," ")</f>
        <v xml:space="preserve"> </v>
      </c>
      <c r="BN13" s="12">
        <v>8</v>
      </c>
      <c r="BO13" s="26"/>
      <c r="BP13" s="27"/>
      <c r="BQ13" s="27"/>
      <c r="BR13" s="26"/>
      <c r="BS13" s="28" t="str">
        <f ca="1">IFERROR(MATCH(INDIRECT("BO13"),'1.Items'!$B$2:$B$5, 0)," ")</f>
        <v xml:space="preserve"> </v>
      </c>
      <c r="BT13" s="15" t="str">
        <f ca="1">IFERROR(IF(ISNUMBER(BS13),BP13+IF(BR13="No",INDEX('1.Items'!D2:D5,BS13),INDEX('1.Items'!E2:E5,BS13))," ")," ")</f>
        <v xml:space="preserve"> </v>
      </c>
      <c r="BU13" s="15" t="str">
        <f ca="1">IFERROR(IF(ISNUMBER(BS13),BQ13+IF(BR13="No",INDEX('1.Items'!E2:E5,BS13),INDEX('1.Items'!D2:D5,BS13))," ")," ")</f>
        <v xml:space="preserve"> </v>
      </c>
      <c r="BV13" s="28" t="str">
        <f ca="1">IFERROR(IF(ISNUMBER(BS13),INDEX('1.Items'!G2:G37,BS13 )," ")," ")</f>
        <v xml:space="preserve"> </v>
      </c>
      <c r="BW13" s="15" t="str">
        <f ca="1">IFERROR(IF(ISNUMBER(BS13),INDEX('1.Items'!F2:F37,BS13 )," ")," ")</f>
        <v xml:space="preserve"> </v>
      </c>
      <c r="BX13" s="15" t="str">
        <f ca="1">IFERROR(IF(ISNUMBER(BS13),INDEX('1.Items'!I2:I37,BS13 )," ")," ")</f>
        <v xml:space="preserve"> </v>
      </c>
      <c r="CA13" s="12">
        <v>8</v>
      </c>
      <c r="CB13" s="26"/>
      <c r="CC13" s="27"/>
      <c r="CD13" s="27"/>
      <c r="CE13" s="26"/>
      <c r="CF13" s="28" t="str">
        <f ca="1">IFERROR(MATCH(INDIRECT("CB13"),'1.Items'!$B$2:$B$5, 0)," ")</f>
        <v xml:space="preserve"> </v>
      </c>
      <c r="CG13" s="15" t="str">
        <f ca="1">IFERROR(IF(ISNUMBER(CF13),CC13+IF(CE13="No",INDEX('1.Items'!D2:D5,CF13),INDEX('1.Items'!E2:E5,CF13))," ")," ")</f>
        <v xml:space="preserve"> </v>
      </c>
      <c r="CH13" s="15" t="str">
        <f ca="1">IFERROR(IF(ISNUMBER(CF13),CD13+IF(CE13="No",INDEX('1.Items'!E2:E5,CF13),INDEX('1.Items'!D2:D5,CF13))," ")," ")</f>
        <v xml:space="preserve"> </v>
      </c>
      <c r="CI13" s="28" t="str">
        <f ca="1">IFERROR(IF(ISNUMBER(CF13),INDEX('1.Items'!G2:G37,CF13 )," ")," ")</f>
        <v xml:space="preserve"> </v>
      </c>
      <c r="CJ13" s="15" t="str">
        <f ca="1">IFERROR(IF(ISNUMBER(CF13),INDEX('1.Items'!F2:F37,CF13 )," ")," ")</f>
        <v xml:space="preserve"> </v>
      </c>
      <c r="CK13" s="15" t="str">
        <f ca="1">IFERROR(IF(ISNUMBER(CF13),INDEX('1.Items'!I2:I37,CF13 )," ")," ")</f>
        <v xml:space="preserve"> </v>
      </c>
    </row>
    <row r="14" spans="1:167" x14ac:dyDescent="0.25">
      <c r="A14" s="12">
        <v>9</v>
      </c>
      <c r="B14" s="26"/>
      <c r="C14" s="27"/>
      <c r="D14" s="27"/>
      <c r="E14" s="26"/>
      <c r="F14" s="28" t="str">
        <f ca="1">IFERROR(MATCH(INDIRECT("B14"),'1.Items'!$B$2:$B$5, 0)," ")</f>
        <v xml:space="preserve"> </v>
      </c>
      <c r="G14" s="15" t="str">
        <f ca="1">IFERROR(IF(ISNUMBER(F14),C14+IF(E14="No",INDEX('1.Items'!D2:D5,F14),INDEX('1.Items'!E2:E5,F14))," ")," ")</f>
        <v xml:space="preserve"> </v>
      </c>
      <c r="H14" s="15" t="str">
        <f ca="1">IFERROR(IF(ISNUMBER(F14),D14+IF(E14="No",INDEX('1.Items'!E2:E5,F14),INDEX('1.Items'!D2:D5,F14))," ")," ")</f>
        <v xml:space="preserve"> </v>
      </c>
      <c r="I14" s="28" t="str">
        <f ca="1">IFERROR(IF(ISNUMBER(F14),INDEX('1.Items'!G2:G37,F14 )," ")," ")</f>
        <v xml:space="preserve"> </v>
      </c>
      <c r="J14" s="15" t="str">
        <f ca="1">IFERROR(IF(ISNUMBER(F14),INDEX('1.Items'!F2:F37,F14 )," ")," ")</f>
        <v xml:space="preserve"> </v>
      </c>
      <c r="K14" s="15" t="str">
        <f ca="1">IFERROR(IF(ISNUMBER(F14),INDEX('1.Items'!I2:I37,F14 )," ")," ")</f>
        <v xml:space="preserve"> </v>
      </c>
      <c r="N14" s="12">
        <v>9</v>
      </c>
      <c r="O14" s="26"/>
      <c r="P14" s="27"/>
      <c r="Q14" s="27"/>
      <c r="R14" s="26"/>
      <c r="S14" s="28" t="str">
        <f ca="1">IFERROR(MATCH(INDIRECT("O14"),'1.Items'!$B$2:$B$5, 0)," ")</f>
        <v xml:space="preserve"> </v>
      </c>
      <c r="T14" s="15" t="str">
        <f ca="1">IFERROR(IF(ISNUMBER(S14),P14+IF(R14="No",INDEX('1.Items'!D2:D5,S14),INDEX('1.Items'!E2:E5,S14))," ")," ")</f>
        <v xml:space="preserve"> </v>
      </c>
      <c r="U14" s="15" t="str">
        <f ca="1">IFERROR(IF(ISNUMBER(S14),Q14+IF(R14="No",INDEX('1.Items'!E2:E5,S14),INDEX('1.Items'!D2:D5,S14))," ")," ")</f>
        <v xml:space="preserve"> </v>
      </c>
      <c r="V14" s="28" t="str">
        <f ca="1">IFERROR(IF(ISNUMBER(S14),INDEX('1.Items'!G2:G37,S14 )," ")," ")</f>
        <v xml:space="preserve"> </v>
      </c>
      <c r="W14" s="15" t="str">
        <f ca="1">IFERROR(IF(ISNUMBER(S14),INDEX('1.Items'!F2:F37,S14 )," ")," ")</f>
        <v xml:space="preserve"> </v>
      </c>
      <c r="X14" s="15" t="str">
        <f ca="1">IFERROR(IF(ISNUMBER(S14),INDEX('1.Items'!I2:I37,S14 )," ")," ")</f>
        <v xml:space="preserve"> </v>
      </c>
      <c r="AA14" s="12">
        <v>9</v>
      </c>
      <c r="AB14" s="26"/>
      <c r="AC14" s="27"/>
      <c r="AD14" s="27"/>
      <c r="AE14" s="26"/>
      <c r="AF14" s="28" t="str">
        <f ca="1">IFERROR(MATCH(INDIRECT("AB14"),'1.Items'!$B$2:$B$5, 0)," ")</f>
        <v xml:space="preserve"> </v>
      </c>
      <c r="AG14" s="15" t="str">
        <f ca="1">IFERROR(IF(ISNUMBER(AF14),AC14+IF(AE14="No",INDEX('1.Items'!D2:D5,AF14),INDEX('1.Items'!E2:E5,AF14))," ")," ")</f>
        <v xml:space="preserve"> </v>
      </c>
      <c r="AH14" s="15" t="str">
        <f ca="1">IFERROR(IF(ISNUMBER(AF14),AD14+IF(AE14="No",INDEX('1.Items'!E2:E5,AF14),INDEX('1.Items'!D2:D5,AF14))," ")," ")</f>
        <v xml:space="preserve"> </v>
      </c>
      <c r="AI14" s="28" t="str">
        <f ca="1">IFERROR(IF(ISNUMBER(AF14),INDEX('1.Items'!G2:G37,AF14 )," ")," ")</f>
        <v xml:space="preserve"> </v>
      </c>
      <c r="AJ14" s="15" t="str">
        <f ca="1">IFERROR(IF(ISNUMBER(AF14),INDEX('1.Items'!F2:F37,AF14 )," ")," ")</f>
        <v xml:space="preserve"> </v>
      </c>
      <c r="AK14" s="15" t="str">
        <f ca="1">IFERROR(IF(ISNUMBER(AF14),INDEX('1.Items'!I2:I37,AF14 )," ")," ")</f>
        <v xml:space="preserve"> </v>
      </c>
      <c r="AN14" s="12">
        <v>9</v>
      </c>
      <c r="AO14" s="26"/>
      <c r="AP14" s="27"/>
      <c r="AQ14" s="27"/>
      <c r="AR14" s="26"/>
      <c r="AS14" s="28" t="str">
        <f ca="1">IFERROR(MATCH(INDIRECT("AO14"),'1.Items'!$B$2:$B$5, 0)," ")</f>
        <v xml:space="preserve"> </v>
      </c>
      <c r="AT14" s="15" t="str">
        <f ca="1">IFERROR(IF(ISNUMBER(AS14),AP14+IF(AR14="No",INDEX('1.Items'!D2:D5,AS14),INDEX('1.Items'!E2:E5,AS14))," ")," ")</f>
        <v xml:space="preserve"> </v>
      </c>
      <c r="AU14" s="15" t="str">
        <f ca="1">IFERROR(IF(ISNUMBER(AS14),AQ14+IF(AR14="No",INDEX('1.Items'!E2:E5,AS14),INDEX('1.Items'!D2:D5,AS14))," ")," ")</f>
        <v xml:space="preserve"> </v>
      </c>
      <c r="AV14" s="28" t="str">
        <f ca="1">IFERROR(IF(ISNUMBER(AS14),INDEX('1.Items'!G2:G37,AS14 )," ")," ")</f>
        <v xml:space="preserve"> </v>
      </c>
      <c r="AW14" s="15" t="str">
        <f ca="1">IFERROR(IF(ISNUMBER(AS14),INDEX('1.Items'!F2:F37,AS14 )," ")," ")</f>
        <v xml:space="preserve"> </v>
      </c>
      <c r="AX14" s="15" t="str">
        <f ca="1">IFERROR(IF(ISNUMBER(AS14),INDEX('1.Items'!I2:I37,AS14 )," ")," ")</f>
        <v xml:space="preserve"> </v>
      </c>
      <c r="BA14" s="12">
        <v>9</v>
      </c>
      <c r="BB14" s="26"/>
      <c r="BC14" s="27"/>
      <c r="BD14" s="27"/>
      <c r="BE14" s="26"/>
      <c r="BF14" s="28" t="str">
        <f ca="1">IFERROR(MATCH(INDIRECT("BB14"),'1.Items'!$B$2:$B$5, 0)," ")</f>
        <v xml:space="preserve"> </v>
      </c>
      <c r="BG14" s="15" t="str">
        <f ca="1">IFERROR(IF(ISNUMBER(BF14),BC14+IF(BE14="No",INDEX('1.Items'!D2:D5,BF14),INDEX('1.Items'!E2:E5,BF14))," ")," ")</f>
        <v xml:space="preserve"> </v>
      </c>
      <c r="BH14" s="15" t="str">
        <f ca="1">IFERROR(IF(ISNUMBER(BF14),BD14+IF(BE14="No",INDEX('1.Items'!E2:E5,BF14),INDEX('1.Items'!D2:D5,BF14))," ")," ")</f>
        <v xml:space="preserve"> </v>
      </c>
      <c r="BI14" s="28" t="str">
        <f ca="1">IFERROR(IF(ISNUMBER(BF14),INDEX('1.Items'!G2:G37,BF14 )," ")," ")</f>
        <v xml:space="preserve"> </v>
      </c>
      <c r="BJ14" s="15" t="str">
        <f ca="1">IFERROR(IF(ISNUMBER(BF14),INDEX('1.Items'!F2:F37,BF14 )," ")," ")</f>
        <v xml:space="preserve"> </v>
      </c>
      <c r="BK14" s="15" t="str">
        <f ca="1">IFERROR(IF(ISNUMBER(BF14),INDEX('1.Items'!I2:I37,BF14 )," ")," ")</f>
        <v xml:space="preserve"> </v>
      </c>
      <c r="BN14" s="12">
        <v>9</v>
      </c>
      <c r="BO14" s="26"/>
      <c r="BP14" s="27"/>
      <c r="BQ14" s="27"/>
      <c r="BR14" s="26"/>
      <c r="BS14" s="28" t="str">
        <f ca="1">IFERROR(MATCH(INDIRECT("BO14"),'1.Items'!$B$2:$B$5, 0)," ")</f>
        <v xml:space="preserve"> </v>
      </c>
      <c r="BT14" s="15" t="str">
        <f ca="1">IFERROR(IF(ISNUMBER(BS14),BP14+IF(BR14="No",INDEX('1.Items'!D2:D5,BS14),INDEX('1.Items'!E2:E5,BS14))," ")," ")</f>
        <v xml:space="preserve"> </v>
      </c>
      <c r="BU14" s="15" t="str">
        <f ca="1">IFERROR(IF(ISNUMBER(BS14),BQ14+IF(BR14="No",INDEX('1.Items'!E2:E5,BS14),INDEX('1.Items'!D2:D5,BS14))," ")," ")</f>
        <v xml:space="preserve"> </v>
      </c>
      <c r="BV14" s="28" t="str">
        <f ca="1">IFERROR(IF(ISNUMBER(BS14),INDEX('1.Items'!G2:G37,BS14 )," ")," ")</f>
        <v xml:space="preserve"> </v>
      </c>
      <c r="BW14" s="15" t="str">
        <f ca="1">IFERROR(IF(ISNUMBER(BS14),INDEX('1.Items'!F2:F37,BS14 )," ")," ")</f>
        <v xml:space="preserve"> </v>
      </c>
      <c r="BX14" s="15" t="str">
        <f ca="1">IFERROR(IF(ISNUMBER(BS14),INDEX('1.Items'!I2:I37,BS14 )," ")," ")</f>
        <v xml:space="preserve"> </v>
      </c>
      <c r="CA14" s="12">
        <v>9</v>
      </c>
      <c r="CB14" s="26"/>
      <c r="CC14" s="27"/>
      <c r="CD14" s="27"/>
      <c r="CE14" s="26"/>
      <c r="CF14" s="28" t="str">
        <f ca="1">IFERROR(MATCH(INDIRECT("CB14"),'1.Items'!$B$2:$B$5, 0)," ")</f>
        <v xml:space="preserve"> </v>
      </c>
      <c r="CG14" s="15" t="str">
        <f ca="1">IFERROR(IF(ISNUMBER(CF14),CC14+IF(CE14="No",INDEX('1.Items'!D2:D5,CF14),INDEX('1.Items'!E2:E5,CF14))," ")," ")</f>
        <v xml:space="preserve"> </v>
      </c>
      <c r="CH14" s="15" t="str">
        <f ca="1">IFERROR(IF(ISNUMBER(CF14),CD14+IF(CE14="No",INDEX('1.Items'!E2:E5,CF14),INDEX('1.Items'!D2:D5,CF14))," ")," ")</f>
        <v xml:space="preserve"> </v>
      </c>
      <c r="CI14" s="28" t="str">
        <f ca="1">IFERROR(IF(ISNUMBER(CF14),INDEX('1.Items'!G2:G37,CF14 )," ")," ")</f>
        <v xml:space="preserve"> </v>
      </c>
      <c r="CJ14" s="15" t="str">
        <f ca="1">IFERROR(IF(ISNUMBER(CF14),INDEX('1.Items'!F2:F37,CF14 )," ")," ")</f>
        <v xml:space="preserve"> </v>
      </c>
      <c r="CK14" s="15" t="str">
        <f ca="1">IFERROR(IF(ISNUMBER(CF14),INDEX('1.Items'!I2:I37,CF14 )," ")," ")</f>
        <v xml:space="preserve"> </v>
      </c>
    </row>
    <row r="15" spans="1:167" x14ac:dyDescent="0.25">
      <c r="A15" s="12">
        <v>10</v>
      </c>
      <c r="B15" s="26"/>
      <c r="C15" s="27"/>
      <c r="D15" s="27"/>
      <c r="E15" s="26"/>
      <c r="F15" s="28" t="str">
        <f ca="1">IFERROR(MATCH(INDIRECT("B15"),'1.Items'!$B$2:$B$5, 0)," ")</f>
        <v xml:space="preserve"> </v>
      </c>
      <c r="G15" s="15" t="str">
        <f ca="1">IFERROR(IF(ISNUMBER(F15),C15+IF(E15="No",INDEX('1.Items'!D2:D5,F15),INDEX('1.Items'!E2:E5,F15))," ")," ")</f>
        <v xml:space="preserve"> </v>
      </c>
      <c r="H15" s="15" t="str">
        <f ca="1">IFERROR(IF(ISNUMBER(F15),D15+IF(E15="No",INDEX('1.Items'!E2:E5,F15),INDEX('1.Items'!D2:D5,F15))," ")," ")</f>
        <v xml:space="preserve"> </v>
      </c>
      <c r="I15" s="28" t="str">
        <f ca="1">IFERROR(IF(ISNUMBER(F15),INDEX('1.Items'!G2:G37,F15 )," ")," ")</f>
        <v xml:space="preserve"> </v>
      </c>
      <c r="J15" s="15" t="str">
        <f ca="1">IFERROR(IF(ISNUMBER(F15),INDEX('1.Items'!F2:F37,F15 )," ")," ")</f>
        <v xml:space="preserve"> </v>
      </c>
      <c r="K15" s="15" t="str">
        <f ca="1">IFERROR(IF(ISNUMBER(F15),INDEX('1.Items'!I2:I37,F15 )," ")," ")</f>
        <v xml:space="preserve"> </v>
      </c>
      <c r="N15" s="12">
        <v>10</v>
      </c>
      <c r="O15" s="26"/>
      <c r="P15" s="27"/>
      <c r="Q15" s="27"/>
      <c r="R15" s="26"/>
      <c r="S15" s="28" t="str">
        <f ca="1">IFERROR(MATCH(INDIRECT("O15"),'1.Items'!$B$2:$B$5, 0)," ")</f>
        <v xml:space="preserve"> </v>
      </c>
      <c r="T15" s="15" t="str">
        <f ca="1">IFERROR(IF(ISNUMBER(S15),P15+IF(R15="No",INDEX('1.Items'!D2:D5,S15),INDEX('1.Items'!E2:E5,S15))," ")," ")</f>
        <v xml:space="preserve"> </v>
      </c>
      <c r="U15" s="15" t="str">
        <f ca="1">IFERROR(IF(ISNUMBER(S15),Q15+IF(R15="No",INDEX('1.Items'!E2:E5,S15),INDEX('1.Items'!D2:D5,S15))," ")," ")</f>
        <v xml:space="preserve"> </v>
      </c>
      <c r="V15" s="28" t="str">
        <f ca="1">IFERROR(IF(ISNUMBER(S15),INDEX('1.Items'!G2:G37,S15 )," ")," ")</f>
        <v xml:space="preserve"> </v>
      </c>
      <c r="W15" s="15" t="str">
        <f ca="1">IFERROR(IF(ISNUMBER(S15),INDEX('1.Items'!F2:F37,S15 )," ")," ")</f>
        <v xml:space="preserve"> </v>
      </c>
      <c r="X15" s="15" t="str">
        <f ca="1">IFERROR(IF(ISNUMBER(S15),INDEX('1.Items'!I2:I37,S15 )," ")," ")</f>
        <v xml:space="preserve"> </v>
      </c>
      <c r="AA15" s="12">
        <v>10</v>
      </c>
      <c r="AB15" s="26"/>
      <c r="AC15" s="27"/>
      <c r="AD15" s="27"/>
      <c r="AE15" s="26"/>
      <c r="AF15" s="28" t="str">
        <f ca="1">IFERROR(MATCH(INDIRECT("AB15"),'1.Items'!$B$2:$B$5, 0)," ")</f>
        <v xml:space="preserve"> </v>
      </c>
      <c r="AG15" s="15" t="str">
        <f ca="1">IFERROR(IF(ISNUMBER(AF15),AC15+IF(AE15="No",INDEX('1.Items'!D2:D5,AF15),INDEX('1.Items'!E2:E5,AF15))," ")," ")</f>
        <v xml:space="preserve"> </v>
      </c>
      <c r="AH15" s="15" t="str">
        <f ca="1">IFERROR(IF(ISNUMBER(AF15),AD15+IF(AE15="No",INDEX('1.Items'!E2:E5,AF15),INDEX('1.Items'!D2:D5,AF15))," ")," ")</f>
        <v xml:space="preserve"> </v>
      </c>
      <c r="AI15" s="28" t="str">
        <f ca="1">IFERROR(IF(ISNUMBER(AF15),INDEX('1.Items'!G2:G37,AF15 )," ")," ")</f>
        <v xml:space="preserve"> </v>
      </c>
      <c r="AJ15" s="15" t="str">
        <f ca="1">IFERROR(IF(ISNUMBER(AF15),INDEX('1.Items'!F2:F37,AF15 )," ")," ")</f>
        <v xml:space="preserve"> </v>
      </c>
      <c r="AK15" s="15" t="str">
        <f ca="1">IFERROR(IF(ISNUMBER(AF15),INDEX('1.Items'!I2:I37,AF15 )," ")," ")</f>
        <v xml:space="preserve"> </v>
      </c>
      <c r="AN15" s="12">
        <v>10</v>
      </c>
      <c r="AO15" s="26"/>
      <c r="AP15" s="27"/>
      <c r="AQ15" s="27"/>
      <c r="AR15" s="26"/>
      <c r="AS15" s="28" t="str">
        <f ca="1">IFERROR(MATCH(INDIRECT("AO15"),'1.Items'!$B$2:$B$5, 0)," ")</f>
        <v xml:space="preserve"> </v>
      </c>
      <c r="AT15" s="15" t="str">
        <f ca="1">IFERROR(IF(ISNUMBER(AS15),AP15+IF(AR15="No",INDEX('1.Items'!D2:D5,AS15),INDEX('1.Items'!E2:E5,AS15))," ")," ")</f>
        <v xml:space="preserve"> </v>
      </c>
      <c r="AU15" s="15" t="str">
        <f ca="1">IFERROR(IF(ISNUMBER(AS15),AQ15+IF(AR15="No",INDEX('1.Items'!E2:E5,AS15),INDEX('1.Items'!D2:D5,AS15))," ")," ")</f>
        <v xml:space="preserve"> </v>
      </c>
      <c r="AV15" s="28" t="str">
        <f ca="1">IFERROR(IF(ISNUMBER(AS15),INDEX('1.Items'!G2:G37,AS15 )," ")," ")</f>
        <v xml:space="preserve"> </v>
      </c>
      <c r="AW15" s="15" t="str">
        <f ca="1">IFERROR(IF(ISNUMBER(AS15),INDEX('1.Items'!F2:F37,AS15 )," ")," ")</f>
        <v xml:space="preserve"> </v>
      </c>
      <c r="AX15" s="15" t="str">
        <f ca="1">IFERROR(IF(ISNUMBER(AS15),INDEX('1.Items'!I2:I37,AS15 )," ")," ")</f>
        <v xml:space="preserve"> </v>
      </c>
      <c r="BA15" s="12">
        <v>10</v>
      </c>
      <c r="BB15" s="26"/>
      <c r="BC15" s="27"/>
      <c r="BD15" s="27"/>
      <c r="BE15" s="26"/>
      <c r="BF15" s="28" t="str">
        <f ca="1">IFERROR(MATCH(INDIRECT("BB15"),'1.Items'!$B$2:$B$5, 0)," ")</f>
        <v xml:space="preserve"> </v>
      </c>
      <c r="BG15" s="15" t="str">
        <f ca="1">IFERROR(IF(ISNUMBER(BF15),BC15+IF(BE15="No",INDEX('1.Items'!D2:D5,BF15),INDEX('1.Items'!E2:E5,BF15))," ")," ")</f>
        <v xml:space="preserve"> </v>
      </c>
      <c r="BH15" s="15" t="str">
        <f ca="1">IFERROR(IF(ISNUMBER(BF15),BD15+IF(BE15="No",INDEX('1.Items'!E2:E5,BF15),INDEX('1.Items'!D2:D5,BF15))," ")," ")</f>
        <v xml:space="preserve"> </v>
      </c>
      <c r="BI15" s="28" t="str">
        <f ca="1">IFERROR(IF(ISNUMBER(BF15),INDEX('1.Items'!G2:G37,BF15 )," ")," ")</f>
        <v xml:space="preserve"> </v>
      </c>
      <c r="BJ15" s="15" t="str">
        <f ca="1">IFERROR(IF(ISNUMBER(BF15),INDEX('1.Items'!F2:F37,BF15 )," ")," ")</f>
        <v xml:space="preserve"> </v>
      </c>
      <c r="BK15" s="15" t="str">
        <f ca="1">IFERROR(IF(ISNUMBER(BF15),INDEX('1.Items'!I2:I37,BF15 )," ")," ")</f>
        <v xml:space="preserve"> </v>
      </c>
      <c r="BN15" s="12">
        <v>10</v>
      </c>
      <c r="BO15" s="26"/>
      <c r="BP15" s="27"/>
      <c r="BQ15" s="27"/>
      <c r="BR15" s="26"/>
      <c r="BS15" s="28" t="str">
        <f ca="1">IFERROR(MATCH(INDIRECT("BO15"),'1.Items'!$B$2:$B$5, 0)," ")</f>
        <v xml:space="preserve"> </v>
      </c>
      <c r="BT15" s="15" t="str">
        <f ca="1">IFERROR(IF(ISNUMBER(BS15),BP15+IF(BR15="No",INDEX('1.Items'!D2:D5,BS15),INDEX('1.Items'!E2:E5,BS15))," ")," ")</f>
        <v xml:space="preserve"> </v>
      </c>
      <c r="BU15" s="15" t="str">
        <f ca="1">IFERROR(IF(ISNUMBER(BS15),BQ15+IF(BR15="No",INDEX('1.Items'!E2:E5,BS15),INDEX('1.Items'!D2:D5,BS15))," ")," ")</f>
        <v xml:space="preserve"> </v>
      </c>
      <c r="BV15" s="28" t="str">
        <f ca="1">IFERROR(IF(ISNUMBER(BS15),INDEX('1.Items'!G2:G37,BS15 )," ")," ")</f>
        <v xml:space="preserve"> </v>
      </c>
      <c r="BW15" s="15" t="str">
        <f ca="1">IFERROR(IF(ISNUMBER(BS15),INDEX('1.Items'!F2:F37,BS15 )," ")," ")</f>
        <v xml:space="preserve"> </v>
      </c>
      <c r="BX15" s="15" t="str">
        <f ca="1">IFERROR(IF(ISNUMBER(BS15),INDEX('1.Items'!I2:I37,BS15 )," ")," ")</f>
        <v xml:space="preserve"> </v>
      </c>
      <c r="CA15" s="12">
        <v>10</v>
      </c>
      <c r="CB15" s="26"/>
      <c r="CC15" s="27"/>
      <c r="CD15" s="27"/>
      <c r="CE15" s="26"/>
      <c r="CF15" s="28" t="str">
        <f ca="1">IFERROR(MATCH(INDIRECT("CB15"),'1.Items'!$B$2:$B$5, 0)," ")</f>
        <v xml:space="preserve"> </v>
      </c>
      <c r="CG15" s="15" t="str">
        <f ca="1">IFERROR(IF(ISNUMBER(CF15),CC15+IF(CE15="No",INDEX('1.Items'!D2:D5,CF15),INDEX('1.Items'!E2:E5,CF15))," ")," ")</f>
        <v xml:space="preserve"> </v>
      </c>
      <c r="CH15" s="15" t="str">
        <f ca="1">IFERROR(IF(ISNUMBER(CF15),CD15+IF(CE15="No",INDEX('1.Items'!E2:E5,CF15),INDEX('1.Items'!D2:D5,CF15))," ")," ")</f>
        <v xml:space="preserve"> </v>
      </c>
      <c r="CI15" s="28" t="str">
        <f ca="1">IFERROR(IF(ISNUMBER(CF15),INDEX('1.Items'!G2:G37,CF15 )," ")," ")</f>
        <v xml:space="preserve"> </v>
      </c>
      <c r="CJ15" s="15" t="str">
        <f ca="1">IFERROR(IF(ISNUMBER(CF15),INDEX('1.Items'!F2:F37,CF15 )," ")," ")</f>
        <v xml:space="preserve"> </v>
      </c>
      <c r="CK15" s="15" t="str">
        <f ca="1">IFERROR(IF(ISNUMBER(CF15),INDEX('1.Items'!I2:I37,CF15 )," ")," ")</f>
        <v xml:space="preserve"> </v>
      </c>
    </row>
    <row r="16" spans="1:167" x14ac:dyDescent="0.25">
      <c r="A16" s="12">
        <v>11</v>
      </c>
      <c r="B16" s="26"/>
      <c r="C16" s="27"/>
      <c r="D16" s="27"/>
      <c r="E16" s="26"/>
      <c r="F16" s="28" t="str">
        <f ca="1">IFERROR(MATCH(INDIRECT("B16"),'1.Items'!$B$2:$B$5, 0)," ")</f>
        <v xml:space="preserve"> </v>
      </c>
      <c r="G16" s="15" t="str">
        <f ca="1">IFERROR(IF(ISNUMBER(F16),C16+IF(E16="No",INDEX('1.Items'!D2:D5,F16),INDEX('1.Items'!E2:E5,F16))," ")," ")</f>
        <v xml:space="preserve"> </v>
      </c>
      <c r="H16" s="15" t="str">
        <f ca="1">IFERROR(IF(ISNUMBER(F16),D16+IF(E16="No",INDEX('1.Items'!E2:E5,F16),INDEX('1.Items'!D2:D5,F16))," ")," ")</f>
        <v xml:space="preserve"> </v>
      </c>
      <c r="I16" s="28" t="str">
        <f ca="1">IFERROR(IF(ISNUMBER(F16),INDEX('1.Items'!G2:G37,F16 )," ")," ")</f>
        <v xml:space="preserve"> </v>
      </c>
      <c r="J16" s="15" t="str">
        <f ca="1">IFERROR(IF(ISNUMBER(F16),INDEX('1.Items'!F2:F37,F16 )," ")," ")</f>
        <v xml:space="preserve"> </v>
      </c>
      <c r="K16" s="15" t="str">
        <f ca="1">IFERROR(IF(ISNUMBER(F16),INDEX('1.Items'!I2:I37,F16 )," ")," ")</f>
        <v xml:space="preserve"> </v>
      </c>
      <c r="N16" s="12">
        <v>11</v>
      </c>
      <c r="O16" s="26"/>
      <c r="P16" s="27"/>
      <c r="Q16" s="27"/>
      <c r="R16" s="26"/>
      <c r="S16" s="28" t="str">
        <f ca="1">IFERROR(MATCH(INDIRECT("O16"),'1.Items'!$B$2:$B$5, 0)," ")</f>
        <v xml:space="preserve"> </v>
      </c>
      <c r="T16" s="15" t="str">
        <f ca="1">IFERROR(IF(ISNUMBER(S16),P16+IF(R16="No",INDEX('1.Items'!D2:D5,S16),INDEX('1.Items'!E2:E5,S16))," ")," ")</f>
        <v xml:space="preserve"> </v>
      </c>
      <c r="U16" s="15" t="str">
        <f ca="1">IFERROR(IF(ISNUMBER(S16),Q16+IF(R16="No",INDEX('1.Items'!E2:E5,S16),INDEX('1.Items'!D2:D5,S16))," ")," ")</f>
        <v xml:space="preserve"> </v>
      </c>
      <c r="V16" s="28" t="str">
        <f ca="1">IFERROR(IF(ISNUMBER(S16),INDEX('1.Items'!G2:G37,S16 )," ")," ")</f>
        <v xml:space="preserve"> </v>
      </c>
      <c r="W16" s="15" t="str">
        <f ca="1">IFERROR(IF(ISNUMBER(S16),INDEX('1.Items'!F2:F37,S16 )," ")," ")</f>
        <v xml:space="preserve"> </v>
      </c>
      <c r="X16" s="15" t="str">
        <f ca="1">IFERROR(IF(ISNUMBER(S16),INDEX('1.Items'!I2:I37,S16 )," ")," ")</f>
        <v xml:space="preserve"> </v>
      </c>
      <c r="AA16" s="12">
        <v>11</v>
      </c>
      <c r="AB16" s="26"/>
      <c r="AC16" s="27"/>
      <c r="AD16" s="27"/>
      <c r="AE16" s="26"/>
      <c r="AF16" s="28" t="str">
        <f ca="1">IFERROR(MATCH(INDIRECT("AB16"),'1.Items'!$B$2:$B$5, 0)," ")</f>
        <v xml:space="preserve"> </v>
      </c>
      <c r="AG16" s="15" t="str">
        <f ca="1">IFERROR(IF(ISNUMBER(AF16),AC16+IF(AE16="No",INDEX('1.Items'!D2:D5,AF16),INDEX('1.Items'!E2:E5,AF16))," ")," ")</f>
        <v xml:space="preserve"> </v>
      </c>
      <c r="AH16" s="15" t="str">
        <f ca="1">IFERROR(IF(ISNUMBER(AF16),AD16+IF(AE16="No",INDEX('1.Items'!E2:E5,AF16),INDEX('1.Items'!D2:D5,AF16))," ")," ")</f>
        <v xml:space="preserve"> </v>
      </c>
      <c r="AI16" s="28" t="str">
        <f ca="1">IFERROR(IF(ISNUMBER(AF16),INDEX('1.Items'!G2:G37,AF16 )," ")," ")</f>
        <v xml:space="preserve"> </v>
      </c>
      <c r="AJ16" s="15" t="str">
        <f ca="1">IFERROR(IF(ISNUMBER(AF16),INDEX('1.Items'!F2:F37,AF16 )," ")," ")</f>
        <v xml:space="preserve"> </v>
      </c>
      <c r="AK16" s="15" t="str">
        <f ca="1">IFERROR(IF(ISNUMBER(AF16),INDEX('1.Items'!I2:I37,AF16 )," ")," ")</f>
        <v xml:space="preserve"> </v>
      </c>
      <c r="AN16" s="12">
        <v>11</v>
      </c>
      <c r="AO16" s="26"/>
      <c r="AP16" s="27"/>
      <c r="AQ16" s="27"/>
      <c r="AR16" s="26"/>
      <c r="AS16" s="28" t="str">
        <f ca="1">IFERROR(MATCH(INDIRECT("AO16"),'1.Items'!$B$2:$B$5, 0)," ")</f>
        <v xml:space="preserve"> </v>
      </c>
      <c r="AT16" s="15" t="str">
        <f ca="1">IFERROR(IF(ISNUMBER(AS16),AP16+IF(AR16="No",INDEX('1.Items'!D2:D5,AS16),INDEX('1.Items'!E2:E5,AS16))," ")," ")</f>
        <v xml:space="preserve"> </v>
      </c>
      <c r="AU16" s="15" t="str">
        <f ca="1">IFERROR(IF(ISNUMBER(AS16),AQ16+IF(AR16="No",INDEX('1.Items'!E2:E5,AS16),INDEX('1.Items'!D2:D5,AS16))," ")," ")</f>
        <v xml:space="preserve"> </v>
      </c>
      <c r="AV16" s="28" t="str">
        <f ca="1">IFERROR(IF(ISNUMBER(AS16),INDEX('1.Items'!G2:G37,AS16 )," ")," ")</f>
        <v xml:space="preserve"> </v>
      </c>
      <c r="AW16" s="15" t="str">
        <f ca="1">IFERROR(IF(ISNUMBER(AS16),INDEX('1.Items'!F2:F37,AS16 )," ")," ")</f>
        <v xml:space="preserve"> </v>
      </c>
      <c r="AX16" s="15" t="str">
        <f ca="1">IFERROR(IF(ISNUMBER(AS16),INDEX('1.Items'!I2:I37,AS16 )," ")," ")</f>
        <v xml:space="preserve"> </v>
      </c>
      <c r="BA16" s="12">
        <v>11</v>
      </c>
      <c r="BB16" s="26"/>
      <c r="BC16" s="27"/>
      <c r="BD16" s="27"/>
      <c r="BE16" s="26"/>
      <c r="BF16" s="28" t="str">
        <f ca="1">IFERROR(MATCH(INDIRECT("BB16"),'1.Items'!$B$2:$B$5, 0)," ")</f>
        <v xml:space="preserve"> </v>
      </c>
      <c r="BG16" s="15" t="str">
        <f ca="1">IFERROR(IF(ISNUMBER(BF16),BC16+IF(BE16="No",INDEX('1.Items'!D2:D5,BF16),INDEX('1.Items'!E2:E5,BF16))," ")," ")</f>
        <v xml:space="preserve"> </v>
      </c>
      <c r="BH16" s="15" t="str">
        <f ca="1">IFERROR(IF(ISNUMBER(BF16),BD16+IF(BE16="No",INDEX('1.Items'!E2:E5,BF16),INDEX('1.Items'!D2:D5,BF16))," ")," ")</f>
        <v xml:space="preserve"> </v>
      </c>
      <c r="BI16" s="28" t="str">
        <f ca="1">IFERROR(IF(ISNUMBER(BF16),INDEX('1.Items'!G2:G37,BF16 )," ")," ")</f>
        <v xml:space="preserve"> </v>
      </c>
      <c r="BJ16" s="15" t="str">
        <f ca="1">IFERROR(IF(ISNUMBER(BF16),INDEX('1.Items'!F2:F37,BF16 )," ")," ")</f>
        <v xml:space="preserve"> </v>
      </c>
      <c r="BK16" s="15" t="str">
        <f ca="1">IFERROR(IF(ISNUMBER(BF16),INDEX('1.Items'!I2:I37,BF16 )," ")," ")</f>
        <v xml:space="preserve"> </v>
      </c>
      <c r="BN16" s="12">
        <v>11</v>
      </c>
      <c r="BO16" s="26"/>
      <c r="BP16" s="27"/>
      <c r="BQ16" s="27"/>
      <c r="BR16" s="26"/>
      <c r="BS16" s="28" t="str">
        <f ca="1">IFERROR(MATCH(INDIRECT("BO16"),'1.Items'!$B$2:$B$5, 0)," ")</f>
        <v xml:space="preserve"> </v>
      </c>
      <c r="BT16" s="15" t="str">
        <f ca="1">IFERROR(IF(ISNUMBER(BS16),BP16+IF(BR16="No",INDEX('1.Items'!D2:D5,BS16),INDEX('1.Items'!E2:E5,BS16))," ")," ")</f>
        <v xml:space="preserve"> </v>
      </c>
      <c r="BU16" s="15" t="str">
        <f ca="1">IFERROR(IF(ISNUMBER(BS16),BQ16+IF(BR16="No",INDEX('1.Items'!E2:E5,BS16),INDEX('1.Items'!D2:D5,BS16))," ")," ")</f>
        <v xml:space="preserve"> </v>
      </c>
      <c r="BV16" s="28" t="str">
        <f ca="1">IFERROR(IF(ISNUMBER(BS16),INDEX('1.Items'!G2:G37,BS16 )," ")," ")</f>
        <v xml:space="preserve"> </v>
      </c>
      <c r="BW16" s="15" t="str">
        <f ca="1">IFERROR(IF(ISNUMBER(BS16),INDEX('1.Items'!F2:F37,BS16 )," ")," ")</f>
        <v xml:space="preserve"> </v>
      </c>
      <c r="BX16" s="15" t="str">
        <f ca="1">IFERROR(IF(ISNUMBER(BS16),INDEX('1.Items'!I2:I37,BS16 )," ")," ")</f>
        <v xml:space="preserve"> </v>
      </c>
      <c r="CA16" s="12">
        <v>11</v>
      </c>
      <c r="CB16" s="26"/>
      <c r="CC16" s="27"/>
      <c r="CD16" s="27"/>
      <c r="CE16" s="26"/>
      <c r="CF16" s="28" t="str">
        <f ca="1">IFERROR(MATCH(INDIRECT("CB16"),'1.Items'!$B$2:$B$5, 0)," ")</f>
        <v xml:space="preserve"> </v>
      </c>
      <c r="CG16" s="15" t="str">
        <f ca="1">IFERROR(IF(ISNUMBER(CF16),CC16+IF(CE16="No",INDEX('1.Items'!D2:D5,CF16),INDEX('1.Items'!E2:E5,CF16))," ")," ")</f>
        <v xml:space="preserve"> </v>
      </c>
      <c r="CH16" s="15" t="str">
        <f ca="1">IFERROR(IF(ISNUMBER(CF16),CD16+IF(CE16="No",INDEX('1.Items'!E2:E5,CF16),INDEX('1.Items'!D2:D5,CF16))," ")," ")</f>
        <v xml:space="preserve"> </v>
      </c>
      <c r="CI16" s="28" t="str">
        <f ca="1">IFERROR(IF(ISNUMBER(CF16),INDEX('1.Items'!G2:G37,CF16 )," ")," ")</f>
        <v xml:space="preserve"> </v>
      </c>
      <c r="CJ16" s="15" t="str">
        <f ca="1">IFERROR(IF(ISNUMBER(CF16),INDEX('1.Items'!F2:F37,CF16 )," ")," ")</f>
        <v xml:space="preserve"> </v>
      </c>
      <c r="CK16" s="15" t="str">
        <f ca="1">IFERROR(IF(ISNUMBER(CF16),INDEX('1.Items'!I2:I37,CF16 )," ")," ")</f>
        <v xml:space="preserve"> </v>
      </c>
    </row>
    <row r="17" spans="1:89" x14ac:dyDescent="0.25">
      <c r="A17" s="12">
        <v>12</v>
      </c>
      <c r="B17" s="26"/>
      <c r="C17" s="27"/>
      <c r="D17" s="27"/>
      <c r="E17" s="26"/>
      <c r="F17" s="28" t="str">
        <f ca="1">IFERROR(MATCH(INDIRECT("B17"),'1.Items'!$B$2:$B$5, 0)," ")</f>
        <v xml:space="preserve"> </v>
      </c>
      <c r="G17" s="15" t="str">
        <f ca="1">IFERROR(IF(ISNUMBER(F17),C17+IF(E17="No",INDEX('1.Items'!D2:D5,F17),INDEX('1.Items'!E2:E5,F17))," ")," ")</f>
        <v xml:space="preserve"> </v>
      </c>
      <c r="H17" s="15" t="str">
        <f ca="1">IFERROR(IF(ISNUMBER(F17),D17+IF(E17="No",INDEX('1.Items'!E2:E5,F17),INDEX('1.Items'!D2:D5,F17))," ")," ")</f>
        <v xml:space="preserve"> </v>
      </c>
      <c r="I17" s="28" t="str">
        <f ca="1">IFERROR(IF(ISNUMBER(F17),INDEX('1.Items'!G2:G37,F17 )," ")," ")</f>
        <v xml:space="preserve"> </v>
      </c>
      <c r="J17" s="15" t="str">
        <f ca="1">IFERROR(IF(ISNUMBER(F17),INDEX('1.Items'!F2:F37,F17 )," ")," ")</f>
        <v xml:space="preserve"> </v>
      </c>
      <c r="K17" s="15" t="str">
        <f ca="1">IFERROR(IF(ISNUMBER(F17),INDEX('1.Items'!I2:I37,F17 )," ")," ")</f>
        <v xml:space="preserve"> </v>
      </c>
      <c r="N17" s="12">
        <v>12</v>
      </c>
      <c r="O17" s="26"/>
      <c r="P17" s="27"/>
      <c r="Q17" s="27"/>
      <c r="R17" s="26"/>
      <c r="S17" s="28" t="str">
        <f ca="1">IFERROR(MATCH(INDIRECT("O17"),'1.Items'!$B$2:$B$5, 0)," ")</f>
        <v xml:space="preserve"> </v>
      </c>
      <c r="T17" s="15" t="str">
        <f ca="1">IFERROR(IF(ISNUMBER(S17),P17+IF(R17="No",INDEX('1.Items'!D2:D5,S17),INDEX('1.Items'!E2:E5,S17))," ")," ")</f>
        <v xml:space="preserve"> </v>
      </c>
      <c r="U17" s="15" t="str">
        <f ca="1">IFERROR(IF(ISNUMBER(S17),Q17+IF(R17="No",INDEX('1.Items'!E2:E5,S17),INDEX('1.Items'!D2:D5,S17))," ")," ")</f>
        <v xml:space="preserve"> </v>
      </c>
      <c r="V17" s="28" t="str">
        <f ca="1">IFERROR(IF(ISNUMBER(S17),INDEX('1.Items'!G2:G37,S17 )," ")," ")</f>
        <v xml:space="preserve"> </v>
      </c>
      <c r="W17" s="15" t="str">
        <f ca="1">IFERROR(IF(ISNUMBER(S17),INDEX('1.Items'!F2:F37,S17 )," ")," ")</f>
        <v xml:space="preserve"> </v>
      </c>
      <c r="X17" s="15" t="str">
        <f ca="1">IFERROR(IF(ISNUMBER(S17),INDEX('1.Items'!I2:I37,S17 )," ")," ")</f>
        <v xml:space="preserve"> </v>
      </c>
      <c r="AA17" s="12">
        <v>12</v>
      </c>
      <c r="AB17" s="26"/>
      <c r="AC17" s="27"/>
      <c r="AD17" s="27"/>
      <c r="AE17" s="26"/>
      <c r="AF17" s="28" t="str">
        <f ca="1">IFERROR(MATCH(INDIRECT("AB17"),'1.Items'!$B$2:$B$5, 0)," ")</f>
        <v xml:space="preserve"> </v>
      </c>
      <c r="AG17" s="15" t="str">
        <f ca="1">IFERROR(IF(ISNUMBER(AF17),AC17+IF(AE17="No",INDEX('1.Items'!D2:D5,AF17),INDEX('1.Items'!E2:E5,AF17))," ")," ")</f>
        <v xml:space="preserve"> </v>
      </c>
      <c r="AH17" s="15" t="str">
        <f ca="1">IFERROR(IF(ISNUMBER(AF17),AD17+IF(AE17="No",INDEX('1.Items'!E2:E5,AF17),INDEX('1.Items'!D2:D5,AF17))," ")," ")</f>
        <v xml:space="preserve"> </v>
      </c>
      <c r="AI17" s="28" t="str">
        <f ca="1">IFERROR(IF(ISNUMBER(AF17),INDEX('1.Items'!G2:G37,AF17 )," ")," ")</f>
        <v xml:space="preserve"> </v>
      </c>
      <c r="AJ17" s="15" t="str">
        <f ca="1">IFERROR(IF(ISNUMBER(AF17),INDEX('1.Items'!F2:F37,AF17 )," ")," ")</f>
        <v xml:space="preserve"> </v>
      </c>
      <c r="AK17" s="15" t="str">
        <f ca="1">IFERROR(IF(ISNUMBER(AF17),INDEX('1.Items'!I2:I37,AF17 )," ")," ")</f>
        <v xml:space="preserve"> </v>
      </c>
      <c r="AN17" s="12">
        <v>12</v>
      </c>
      <c r="AO17" s="26"/>
      <c r="AP17" s="27"/>
      <c r="AQ17" s="27"/>
      <c r="AR17" s="26"/>
      <c r="AS17" s="28" t="str">
        <f ca="1">IFERROR(MATCH(INDIRECT("AO17"),'1.Items'!$B$2:$B$5, 0)," ")</f>
        <v xml:space="preserve"> </v>
      </c>
      <c r="AT17" s="15" t="str">
        <f ca="1">IFERROR(IF(ISNUMBER(AS17),AP17+IF(AR17="No",INDEX('1.Items'!D2:D5,AS17),INDEX('1.Items'!E2:E5,AS17))," ")," ")</f>
        <v xml:space="preserve"> </v>
      </c>
      <c r="AU17" s="15" t="str">
        <f ca="1">IFERROR(IF(ISNUMBER(AS17),AQ17+IF(AR17="No",INDEX('1.Items'!E2:E5,AS17),INDEX('1.Items'!D2:D5,AS17))," ")," ")</f>
        <v xml:space="preserve"> </v>
      </c>
      <c r="AV17" s="28" t="str">
        <f ca="1">IFERROR(IF(ISNUMBER(AS17),INDEX('1.Items'!G2:G37,AS17 )," ")," ")</f>
        <v xml:space="preserve"> </v>
      </c>
      <c r="AW17" s="15" t="str">
        <f ca="1">IFERROR(IF(ISNUMBER(AS17),INDEX('1.Items'!F2:F37,AS17 )," ")," ")</f>
        <v xml:space="preserve"> </v>
      </c>
      <c r="AX17" s="15" t="str">
        <f ca="1">IFERROR(IF(ISNUMBER(AS17),INDEX('1.Items'!I2:I37,AS17 )," ")," ")</f>
        <v xml:space="preserve"> </v>
      </c>
      <c r="BA17" s="12">
        <v>12</v>
      </c>
      <c r="BB17" s="26"/>
      <c r="BC17" s="27"/>
      <c r="BD17" s="27"/>
      <c r="BE17" s="26"/>
      <c r="BF17" s="28" t="str">
        <f ca="1">IFERROR(MATCH(INDIRECT("BB17"),'1.Items'!$B$2:$B$5, 0)," ")</f>
        <v xml:space="preserve"> </v>
      </c>
      <c r="BG17" s="15" t="str">
        <f ca="1">IFERROR(IF(ISNUMBER(BF17),BC17+IF(BE17="No",INDEX('1.Items'!D2:D5,BF17),INDEX('1.Items'!E2:E5,BF17))," ")," ")</f>
        <v xml:space="preserve"> </v>
      </c>
      <c r="BH17" s="15" t="str">
        <f ca="1">IFERROR(IF(ISNUMBER(BF17),BD17+IF(BE17="No",INDEX('1.Items'!E2:E5,BF17),INDEX('1.Items'!D2:D5,BF17))," ")," ")</f>
        <v xml:space="preserve"> </v>
      </c>
      <c r="BI17" s="28" t="str">
        <f ca="1">IFERROR(IF(ISNUMBER(BF17),INDEX('1.Items'!G2:G37,BF17 )," ")," ")</f>
        <v xml:space="preserve"> </v>
      </c>
      <c r="BJ17" s="15" t="str">
        <f ca="1">IFERROR(IF(ISNUMBER(BF17),INDEX('1.Items'!F2:F37,BF17 )," ")," ")</f>
        <v xml:space="preserve"> </v>
      </c>
      <c r="BK17" s="15" t="str">
        <f ca="1">IFERROR(IF(ISNUMBER(BF17),INDEX('1.Items'!I2:I37,BF17 )," ")," ")</f>
        <v xml:space="preserve"> </v>
      </c>
      <c r="BN17" s="12">
        <v>12</v>
      </c>
      <c r="BO17" s="26"/>
      <c r="BP17" s="27"/>
      <c r="BQ17" s="27"/>
      <c r="BR17" s="26"/>
      <c r="BS17" s="28" t="str">
        <f ca="1">IFERROR(MATCH(INDIRECT("BO17"),'1.Items'!$B$2:$B$5, 0)," ")</f>
        <v xml:space="preserve"> </v>
      </c>
      <c r="BT17" s="15" t="str">
        <f ca="1">IFERROR(IF(ISNUMBER(BS17),BP17+IF(BR17="No",INDEX('1.Items'!D2:D5,BS17),INDEX('1.Items'!E2:E5,BS17))," ")," ")</f>
        <v xml:space="preserve"> </v>
      </c>
      <c r="BU17" s="15" t="str">
        <f ca="1">IFERROR(IF(ISNUMBER(BS17),BQ17+IF(BR17="No",INDEX('1.Items'!E2:E5,BS17),INDEX('1.Items'!D2:D5,BS17))," ")," ")</f>
        <v xml:space="preserve"> </v>
      </c>
      <c r="BV17" s="28" t="str">
        <f ca="1">IFERROR(IF(ISNUMBER(BS17),INDEX('1.Items'!G2:G37,BS17 )," ")," ")</f>
        <v xml:space="preserve"> </v>
      </c>
      <c r="BW17" s="15" t="str">
        <f ca="1">IFERROR(IF(ISNUMBER(BS17),INDEX('1.Items'!F2:F37,BS17 )," ")," ")</f>
        <v xml:space="preserve"> </v>
      </c>
      <c r="BX17" s="15" t="str">
        <f ca="1">IFERROR(IF(ISNUMBER(BS17),INDEX('1.Items'!I2:I37,BS17 )," ")," ")</f>
        <v xml:space="preserve"> </v>
      </c>
      <c r="CA17" s="12">
        <v>12</v>
      </c>
      <c r="CB17" s="26"/>
      <c r="CC17" s="27"/>
      <c r="CD17" s="27"/>
      <c r="CE17" s="26"/>
      <c r="CF17" s="28" t="str">
        <f ca="1">IFERROR(MATCH(INDIRECT("CB17"),'1.Items'!$B$2:$B$5, 0)," ")</f>
        <v xml:space="preserve"> </v>
      </c>
      <c r="CG17" s="15" t="str">
        <f ca="1">IFERROR(IF(ISNUMBER(CF17),CC17+IF(CE17="No",INDEX('1.Items'!D2:D5,CF17),INDEX('1.Items'!E2:E5,CF17))," ")," ")</f>
        <v xml:space="preserve"> </v>
      </c>
      <c r="CH17" s="15" t="str">
        <f ca="1">IFERROR(IF(ISNUMBER(CF17),CD17+IF(CE17="No",INDEX('1.Items'!E2:E5,CF17),INDEX('1.Items'!D2:D5,CF17))," ")," ")</f>
        <v xml:space="preserve"> </v>
      </c>
      <c r="CI17" s="28" t="str">
        <f ca="1">IFERROR(IF(ISNUMBER(CF17),INDEX('1.Items'!G2:G37,CF17 )," ")," ")</f>
        <v xml:space="preserve"> </v>
      </c>
      <c r="CJ17" s="15" t="str">
        <f ca="1">IFERROR(IF(ISNUMBER(CF17),INDEX('1.Items'!F2:F37,CF17 )," ")," ")</f>
        <v xml:space="preserve"> </v>
      </c>
      <c r="CK17" s="15" t="str">
        <f ca="1">IFERROR(IF(ISNUMBER(CF17),INDEX('1.Items'!I2:I37,CF17 )," ")," ")</f>
        <v xml:space="preserve"> </v>
      </c>
    </row>
    <row r="18" spans="1:89" x14ac:dyDescent="0.25">
      <c r="A18" s="12">
        <v>13</v>
      </c>
      <c r="B18" s="26"/>
      <c r="C18" s="27"/>
      <c r="D18" s="27"/>
      <c r="E18" s="26"/>
      <c r="F18" s="28" t="str">
        <f ca="1">IFERROR(MATCH(INDIRECT("B18"),'1.Items'!$B$2:$B$5, 0)," ")</f>
        <v xml:space="preserve"> </v>
      </c>
      <c r="G18" s="15" t="str">
        <f ca="1">IFERROR(IF(ISNUMBER(F18),C18+IF(E18="No",INDEX('1.Items'!D2:D5,F18),INDEX('1.Items'!E2:E5,F18))," ")," ")</f>
        <v xml:space="preserve"> </v>
      </c>
      <c r="H18" s="15" t="str">
        <f ca="1">IFERROR(IF(ISNUMBER(F18),D18+IF(E18="No",INDEX('1.Items'!E2:E5,F18),INDEX('1.Items'!D2:D5,F18))," ")," ")</f>
        <v xml:space="preserve"> </v>
      </c>
      <c r="I18" s="28" t="str">
        <f ca="1">IFERROR(IF(ISNUMBER(F18),INDEX('1.Items'!G2:G37,F18 )," ")," ")</f>
        <v xml:space="preserve"> </v>
      </c>
      <c r="J18" s="15" t="str">
        <f ca="1">IFERROR(IF(ISNUMBER(F18),INDEX('1.Items'!F2:F37,F18 )," ")," ")</f>
        <v xml:space="preserve"> </v>
      </c>
      <c r="K18" s="15" t="str">
        <f ca="1">IFERROR(IF(ISNUMBER(F18),INDEX('1.Items'!I2:I37,F18 )," ")," ")</f>
        <v xml:space="preserve"> </v>
      </c>
      <c r="N18" s="12">
        <v>13</v>
      </c>
      <c r="O18" s="26"/>
      <c r="P18" s="27"/>
      <c r="Q18" s="27"/>
      <c r="R18" s="26"/>
      <c r="S18" s="28" t="str">
        <f ca="1">IFERROR(MATCH(INDIRECT("O18"),'1.Items'!$B$2:$B$5, 0)," ")</f>
        <v xml:space="preserve"> </v>
      </c>
      <c r="T18" s="15" t="str">
        <f ca="1">IFERROR(IF(ISNUMBER(S18),P18+IF(R18="No",INDEX('1.Items'!D2:D5,S18),INDEX('1.Items'!E2:E5,S18))," ")," ")</f>
        <v xml:space="preserve"> </v>
      </c>
      <c r="U18" s="15" t="str">
        <f ca="1">IFERROR(IF(ISNUMBER(S18),Q18+IF(R18="No",INDEX('1.Items'!E2:E5,S18),INDEX('1.Items'!D2:D5,S18))," ")," ")</f>
        <v xml:space="preserve"> </v>
      </c>
      <c r="V18" s="28" t="str">
        <f ca="1">IFERROR(IF(ISNUMBER(S18),INDEX('1.Items'!G2:G37,S18 )," ")," ")</f>
        <v xml:space="preserve"> </v>
      </c>
      <c r="W18" s="15" t="str">
        <f ca="1">IFERROR(IF(ISNUMBER(S18),INDEX('1.Items'!F2:F37,S18 )," ")," ")</f>
        <v xml:space="preserve"> </v>
      </c>
      <c r="X18" s="15" t="str">
        <f ca="1">IFERROR(IF(ISNUMBER(S18),INDEX('1.Items'!I2:I37,S18 )," ")," ")</f>
        <v xml:space="preserve"> </v>
      </c>
      <c r="AA18" s="12">
        <v>13</v>
      </c>
      <c r="AB18" s="26"/>
      <c r="AC18" s="27"/>
      <c r="AD18" s="27"/>
      <c r="AE18" s="26"/>
      <c r="AF18" s="28" t="str">
        <f ca="1">IFERROR(MATCH(INDIRECT("AB18"),'1.Items'!$B$2:$B$5, 0)," ")</f>
        <v xml:space="preserve"> </v>
      </c>
      <c r="AG18" s="15" t="str">
        <f ca="1">IFERROR(IF(ISNUMBER(AF18),AC18+IF(AE18="No",INDEX('1.Items'!D2:D5,AF18),INDEX('1.Items'!E2:E5,AF18))," ")," ")</f>
        <v xml:space="preserve"> </v>
      </c>
      <c r="AH18" s="15" t="str">
        <f ca="1">IFERROR(IF(ISNUMBER(AF18),AD18+IF(AE18="No",INDEX('1.Items'!E2:E5,AF18),INDEX('1.Items'!D2:D5,AF18))," ")," ")</f>
        <v xml:space="preserve"> </v>
      </c>
      <c r="AI18" s="28" t="str">
        <f ca="1">IFERROR(IF(ISNUMBER(AF18),INDEX('1.Items'!G2:G37,AF18 )," ")," ")</f>
        <v xml:space="preserve"> </v>
      </c>
      <c r="AJ18" s="15" t="str">
        <f ca="1">IFERROR(IF(ISNUMBER(AF18),INDEX('1.Items'!F2:F37,AF18 )," ")," ")</f>
        <v xml:space="preserve"> </v>
      </c>
      <c r="AK18" s="15" t="str">
        <f ca="1">IFERROR(IF(ISNUMBER(AF18),INDEX('1.Items'!I2:I37,AF18 )," ")," ")</f>
        <v xml:space="preserve"> </v>
      </c>
      <c r="AN18" s="12">
        <v>13</v>
      </c>
      <c r="AO18" s="26"/>
      <c r="AP18" s="27"/>
      <c r="AQ18" s="27"/>
      <c r="AR18" s="26"/>
      <c r="AS18" s="28" t="str">
        <f ca="1">IFERROR(MATCH(INDIRECT("AO18"),'1.Items'!$B$2:$B$5, 0)," ")</f>
        <v xml:space="preserve"> </v>
      </c>
      <c r="AT18" s="15" t="str">
        <f ca="1">IFERROR(IF(ISNUMBER(AS18),AP18+IF(AR18="No",INDEX('1.Items'!D2:D5,AS18),INDEX('1.Items'!E2:E5,AS18))," ")," ")</f>
        <v xml:space="preserve"> </v>
      </c>
      <c r="AU18" s="15" t="str">
        <f ca="1">IFERROR(IF(ISNUMBER(AS18),AQ18+IF(AR18="No",INDEX('1.Items'!E2:E5,AS18),INDEX('1.Items'!D2:D5,AS18))," ")," ")</f>
        <v xml:space="preserve"> </v>
      </c>
      <c r="AV18" s="28" t="str">
        <f ca="1">IFERROR(IF(ISNUMBER(AS18),INDEX('1.Items'!G2:G37,AS18 )," ")," ")</f>
        <v xml:space="preserve"> </v>
      </c>
      <c r="AW18" s="15" t="str">
        <f ca="1">IFERROR(IF(ISNUMBER(AS18),INDEX('1.Items'!F2:F37,AS18 )," ")," ")</f>
        <v xml:space="preserve"> </v>
      </c>
      <c r="AX18" s="15" t="str">
        <f ca="1">IFERROR(IF(ISNUMBER(AS18),INDEX('1.Items'!I2:I37,AS18 )," ")," ")</f>
        <v xml:space="preserve"> </v>
      </c>
      <c r="BA18" s="12">
        <v>13</v>
      </c>
      <c r="BB18" s="26"/>
      <c r="BC18" s="27"/>
      <c r="BD18" s="27"/>
      <c r="BE18" s="26"/>
      <c r="BF18" s="28" t="str">
        <f ca="1">IFERROR(MATCH(INDIRECT("BB18"),'1.Items'!$B$2:$B$5, 0)," ")</f>
        <v xml:space="preserve"> </v>
      </c>
      <c r="BG18" s="15" t="str">
        <f ca="1">IFERROR(IF(ISNUMBER(BF18),BC18+IF(BE18="No",INDEX('1.Items'!D2:D5,BF18),INDEX('1.Items'!E2:E5,BF18))," ")," ")</f>
        <v xml:space="preserve"> </v>
      </c>
      <c r="BH18" s="15" t="str">
        <f ca="1">IFERROR(IF(ISNUMBER(BF18),BD18+IF(BE18="No",INDEX('1.Items'!E2:E5,BF18),INDEX('1.Items'!D2:D5,BF18))," ")," ")</f>
        <v xml:space="preserve"> </v>
      </c>
      <c r="BI18" s="28" t="str">
        <f ca="1">IFERROR(IF(ISNUMBER(BF18),INDEX('1.Items'!G2:G37,BF18 )," ")," ")</f>
        <v xml:space="preserve"> </v>
      </c>
      <c r="BJ18" s="15" t="str">
        <f ca="1">IFERROR(IF(ISNUMBER(BF18),INDEX('1.Items'!F2:F37,BF18 )," ")," ")</f>
        <v xml:space="preserve"> </v>
      </c>
      <c r="BK18" s="15" t="str">
        <f ca="1">IFERROR(IF(ISNUMBER(BF18),INDEX('1.Items'!I2:I37,BF18 )," ")," ")</f>
        <v xml:space="preserve"> </v>
      </c>
      <c r="BN18" s="12">
        <v>13</v>
      </c>
      <c r="BO18" s="26"/>
      <c r="BP18" s="27"/>
      <c r="BQ18" s="27"/>
      <c r="BR18" s="26"/>
      <c r="BS18" s="28" t="str">
        <f ca="1">IFERROR(MATCH(INDIRECT("BO18"),'1.Items'!$B$2:$B$5, 0)," ")</f>
        <v xml:space="preserve"> </v>
      </c>
      <c r="BT18" s="15" t="str">
        <f ca="1">IFERROR(IF(ISNUMBER(BS18),BP18+IF(BR18="No",INDEX('1.Items'!D2:D5,BS18),INDEX('1.Items'!E2:E5,BS18))," ")," ")</f>
        <v xml:space="preserve"> </v>
      </c>
      <c r="BU18" s="15" t="str">
        <f ca="1">IFERROR(IF(ISNUMBER(BS18),BQ18+IF(BR18="No",INDEX('1.Items'!E2:E5,BS18),INDEX('1.Items'!D2:D5,BS18))," ")," ")</f>
        <v xml:space="preserve"> </v>
      </c>
      <c r="BV18" s="28" t="str">
        <f ca="1">IFERROR(IF(ISNUMBER(BS18),INDEX('1.Items'!G2:G37,BS18 )," ")," ")</f>
        <v xml:space="preserve"> </v>
      </c>
      <c r="BW18" s="15" t="str">
        <f ca="1">IFERROR(IF(ISNUMBER(BS18),INDEX('1.Items'!F2:F37,BS18 )," ")," ")</f>
        <v xml:space="preserve"> </v>
      </c>
      <c r="BX18" s="15" t="str">
        <f ca="1">IFERROR(IF(ISNUMBER(BS18),INDEX('1.Items'!I2:I37,BS18 )," ")," ")</f>
        <v xml:space="preserve"> </v>
      </c>
      <c r="CA18" s="12">
        <v>13</v>
      </c>
      <c r="CB18" s="26"/>
      <c r="CC18" s="27"/>
      <c r="CD18" s="27"/>
      <c r="CE18" s="26"/>
      <c r="CF18" s="28" t="str">
        <f ca="1">IFERROR(MATCH(INDIRECT("CB18"),'1.Items'!$B$2:$B$5, 0)," ")</f>
        <v xml:space="preserve"> </v>
      </c>
      <c r="CG18" s="15" t="str">
        <f ca="1">IFERROR(IF(ISNUMBER(CF18),CC18+IF(CE18="No",INDEX('1.Items'!D2:D5,CF18),INDEX('1.Items'!E2:E5,CF18))," ")," ")</f>
        <v xml:space="preserve"> </v>
      </c>
      <c r="CH18" s="15" t="str">
        <f ca="1">IFERROR(IF(ISNUMBER(CF18),CD18+IF(CE18="No",INDEX('1.Items'!E2:E5,CF18),INDEX('1.Items'!D2:D5,CF18))," ")," ")</f>
        <v xml:space="preserve"> </v>
      </c>
      <c r="CI18" s="28" t="str">
        <f ca="1">IFERROR(IF(ISNUMBER(CF18),INDEX('1.Items'!G2:G37,CF18 )," ")," ")</f>
        <v xml:space="preserve"> </v>
      </c>
      <c r="CJ18" s="15" t="str">
        <f ca="1">IFERROR(IF(ISNUMBER(CF18),INDEX('1.Items'!F2:F37,CF18 )," ")," ")</f>
        <v xml:space="preserve"> </v>
      </c>
      <c r="CK18" s="15" t="str">
        <f ca="1">IFERROR(IF(ISNUMBER(CF18),INDEX('1.Items'!I2:I37,CF18 )," ")," ")</f>
        <v xml:space="preserve"> </v>
      </c>
    </row>
    <row r="19" spans="1:89" x14ac:dyDescent="0.25">
      <c r="A19" s="12">
        <v>14</v>
      </c>
      <c r="B19" s="26"/>
      <c r="C19" s="27"/>
      <c r="D19" s="27"/>
      <c r="E19" s="26"/>
      <c r="F19" s="28" t="str">
        <f ca="1">IFERROR(MATCH(INDIRECT("B19"),'1.Items'!$B$2:$B$5, 0)," ")</f>
        <v xml:space="preserve"> </v>
      </c>
      <c r="G19" s="15" t="str">
        <f ca="1">IFERROR(IF(ISNUMBER(F19),C19+IF(E19="No",INDEX('1.Items'!D2:D5,F19),INDEX('1.Items'!E2:E5,F19))," ")," ")</f>
        <v xml:space="preserve"> </v>
      </c>
      <c r="H19" s="15" t="str">
        <f ca="1">IFERROR(IF(ISNUMBER(F19),D19+IF(E19="No",INDEX('1.Items'!E2:E5,F19),INDEX('1.Items'!D2:D5,F19))," ")," ")</f>
        <v xml:space="preserve"> </v>
      </c>
      <c r="I19" s="28" t="str">
        <f ca="1">IFERROR(IF(ISNUMBER(F19),INDEX('1.Items'!G2:G37,F19 )," ")," ")</f>
        <v xml:space="preserve"> </v>
      </c>
      <c r="J19" s="15" t="str">
        <f ca="1">IFERROR(IF(ISNUMBER(F19),INDEX('1.Items'!F2:F37,F19 )," ")," ")</f>
        <v xml:space="preserve"> </v>
      </c>
      <c r="K19" s="15" t="str">
        <f ca="1">IFERROR(IF(ISNUMBER(F19),INDEX('1.Items'!I2:I37,F19 )," ")," ")</f>
        <v xml:space="preserve"> </v>
      </c>
      <c r="N19" s="12">
        <v>14</v>
      </c>
      <c r="O19" s="26"/>
      <c r="P19" s="27"/>
      <c r="Q19" s="27"/>
      <c r="R19" s="26"/>
      <c r="S19" s="28" t="str">
        <f ca="1">IFERROR(MATCH(INDIRECT("O19"),'1.Items'!$B$2:$B$5, 0)," ")</f>
        <v xml:space="preserve"> </v>
      </c>
      <c r="T19" s="15" t="str">
        <f ca="1">IFERROR(IF(ISNUMBER(S19),P19+IF(R19="No",INDEX('1.Items'!D2:D5,S19),INDEX('1.Items'!E2:E5,S19))," ")," ")</f>
        <v xml:space="preserve"> </v>
      </c>
      <c r="U19" s="15" t="str">
        <f ca="1">IFERROR(IF(ISNUMBER(S19),Q19+IF(R19="No",INDEX('1.Items'!E2:E5,S19),INDEX('1.Items'!D2:D5,S19))," ")," ")</f>
        <v xml:space="preserve"> </v>
      </c>
      <c r="V19" s="28" t="str">
        <f ca="1">IFERROR(IF(ISNUMBER(S19),INDEX('1.Items'!G2:G37,S19 )," ")," ")</f>
        <v xml:space="preserve"> </v>
      </c>
      <c r="W19" s="15" t="str">
        <f ca="1">IFERROR(IF(ISNUMBER(S19),INDEX('1.Items'!F2:F37,S19 )," ")," ")</f>
        <v xml:space="preserve"> </v>
      </c>
      <c r="X19" s="15" t="str">
        <f ca="1">IFERROR(IF(ISNUMBER(S19),INDEX('1.Items'!I2:I37,S19 )," ")," ")</f>
        <v xml:space="preserve"> </v>
      </c>
      <c r="AA19" s="12">
        <v>14</v>
      </c>
      <c r="AB19" s="26"/>
      <c r="AC19" s="27"/>
      <c r="AD19" s="27"/>
      <c r="AE19" s="26"/>
      <c r="AF19" s="28" t="str">
        <f ca="1">IFERROR(MATCH(INDIRECT("AB19"),'1.Items'!$B$2:$B$5, 0)," ")</f>
        <v xml:space="preserve"> </v>
      </c>
      <c r="AG19" s="15" t="str">
        <f ca="1">IFERROR(IF(ISNUMBER(AF19),AC19+IF(AE19="No",INDEX('1.Items'!D2:D5,AF19),INDEX('1.Items'!E2:E5,AF19))," ")," ")</f>
        <v xml:space="preserve"> </v>
      </c>
      <c r="AH19" s="15" t="str">
        <f ca="1">IFERROR(IF(ISNUMBER(AF19),AD19+IF(AE19="No",INDEX('1.Items'!E2:E5,AF19),INDEX('1.Items'!D2:D5,AF19))," ")," ")</f>
        <v xml:space="preserve"> </v>
      </c>
      <c r="AI19" s="28" t="str">
        <f ca="1">IFERROR(IF(ISNUMBER(AF19),INDEX('1.Items'!G2:G37,AF19 )," ")," ")</f>
        <v xml:space="preserve"> </v>
      </c>
      <c r="AJ19" s="15" t="str">
        <f ca="1">IFERROR(IF(ISNUMBER(AF19),INDEX('1.Items'!F2:F37,AF19 )," ")," ")</f>
        <v xml:space="preserve"> </v>
      </c>
      <c r="AK19" s="15" t="str">
        <f ca="1">IFERROR(IF(ISNUMBER(AF19),INDEX('1.Items'!I2:I37,AF19 )," ")," ")</f>
        <v xml:space="preserve"> </v>
      </c>
      <c r="AN19" s="12">
        <v>14</v>
      </c>
      <c r="AO19" s="26"/>
      <c r="AP19" s="27"/>
      <c r="AQ19" s="27"/>
      <c r="AR19" s="26"/>
      <c r="AS19" s="28" t="str">
        <f ca="1">IFERROR(MATCH(INDIRECT("AO19"),'1.Items'!$B$2:$B$5, 0)," ")</f>
        <v xml:space="preserve"> </v>
      </c>
      <c r="AT19" s="15" t="str">
        <f ca="1">IFERROR(IF(ISNUMBER(AS19),AP19+IF(AR19="No",INDEX('1.Items'!D2:D5,AS19),INDEX('1.Items'!E2:E5,AS19))," ")," ")</f>
        <v xml:space="preserve"> </v>
      </c>
      <c r="AU19" s="15" t="str">
        <f ca="1">IFERROR(IF(ISNUMBER(AS19),AQ19+IF(AR19="No",INDEX('1.Items'!E2:E5,AS19),INDEX('1.Items'!D2:D5,AS19))," ")," ")</f>
        <v xml:space="preserve"> </v>
      </c>
      <c r="AV19" s="28" t="str">
        <f ca="1">IFERROR(IF(ISNUMBER(AS19),INDEX('1.Items'!G2:G37,AS19 )," ")," ")</f>
        <v xml:space="preserve"> </v>
      </c>
      <c r="AW19" s="15" t="str">
        <f ca="1">IFERROR(IF(ISNUMBER(AS19),INDEX('1.Items'!F2:F37,AS19 )," ")," ")</f>
        <v xml:space="preserve"> </v>
      </c>
      <c r="AX19" s="15" t="str">
        <f ca="1">IFERROR(IF(ISNUMBER(AS19),INDEX('1.Items'!I2:I37,AS19 )," ")," ")</f>
        <v xml:space="preserve"> </v>
      </c>
      <c r="BA19" s="12">
        <v>14</v>
      </c>
      <c r="BB19" s="26"/>
      <c r="BC19" s="27"/>
      <c r="BD19" s="27"/>
      <c r="BE19" s="26"/>
      <c r="BF19" s="28" t="str">
        <f ca="1">IFERROR(MATCH(INDIRECT("BB19"),'1.Items'!$B$2:$B$5, 0)," ")</f>
        <v xml:space="preserve"> </v>
      </c>
      <c r="BG19" s="15" t="str">
        <f ca="1">IFERROR(IF(ISNUMBER(BF19),BC19+IF(BE19="No",INDEX('1.Items'!D2:D5,BF19),INDEX('1.Items'!E2:E5,BF19))," ")," ")</f>
        <v xml:space="preserve"> </v>
      </c>
      <c r="BH19" s="15" t="str">
        <f ca="1">IFERROR(IF(ISNUMBER(BF19),BD19+IF(BE19="No",INDEX('1.Items'!E2:E5,BF19),INDEX('1.Items'!D2:D5,BF19))," ")," ")</f>
        <v xml:space="preserve"> </v>
      </c>
      <c r="BI19" s="28" t="str">
        <f ca="1">IFERROR(IF(ISNUMBER(BF19),INDEX('1.Items'!G2:G37,BF19 )," ")," ")</f>
        <v xml:space="preserve"> </v>
      </c>
      <c r="BJ19" s="15" t="str">
        <f ca="1">IFERROR(IF(ISNUMBER(BF19),INDEX('1.Items'!F2:F37,BF19 )," ")," ")</f>
        <v xml:space="preserve"> </v>
      </c>
      <c r="BK19" s="15" t="str">
        <f ca="1">IFERROR(IF(ISNUMBER(BF19),INDEX('1.Items'!I2:I37,BF19 )," ")," ")</f>
        <v xml:space="preserve"> </v>
      </c>
      <c r="BN19" s="12">
        <v>14</v>
      </c>
      <c r="BO19" s="26"/>
      <c r="BP19" s="27"/>
      <c r="BQ19" s="27"/>
      <c r="BR19" s="26"/>
      <c r="BS19" s="28" t="str">
        <f ca="1">IFERROR(MATCH(INDIRECT("BO19"),'1.Items'!$B$2:$B$5, 0)," ")</f>
        <v xml:space="preserve"> </v>
      </c>
      <c r="BT19" s="15" t="str">
        <f ca="1">IFERROR(IF(ISNUMBER(BS19),BP19+IF(BR19="No",INDEX('1.Items'!D2:D5,BS19),INDEX('1.Items'!E2:E5,BS19))," ")," ")</f>
        <v xml:space="preserve"> </v>
      </c>
      <c r="BU19" s="15" t="str">
        <f ca="1">IFERROR(IF(ISNUMBER(BS19),BQ19+IF(BR19="No",INDEX('1.Items'!E2:E5,BS19),INDEX('1.Items'!D2:D5,BS19))," ")," ")</f>
        <v xml:space="preserve"> </v>
      </c>
      <c r="BV19" s="28" t="str">
        <f ca="1">IFERROR(IF(ISNUMBER(BS19),INDEX('1.Items'!G2:G37,BS19 )," ")," ")</f>
        <v xml:space="preserve"> </v>
      </c>
      <c r="BW19" s="15" t="str">
        <f ca="1">IFERROR(IF(ISNUMBER(BS19),INDEX('1.Items'!F2:F37,BS19 )," ")," ")</f>
        <v xml:space="preserve"> </v>
      </c>
      <c r="BX19" s="15" t="str">
        <f ca="1">IFERROR(IF(ISNUMBER(BS19),INDEX('1.Items'!I2:I37,BS19 )," ")," ")</f>
        <v xml:space="preserve"> </v>
      </c>
      <c r="CA19" s="12">
        <v>14</v>
      </c>
      <c r="CB19" s="26"/>
      <c r="CC19" s="27"/>
      <c r="CD19" s="27"/>
      <c r="CE19" s="26"/>
      <c r="CF19" s="28" t="str">
        <f ca="1">IFERROR(MATCH(INDIRECT("CB19"),'1.Items'!$B$2:$B$5, 0)," ")</f>
        <v xml:space="preserve"> </v>
      </c>
      <c r="CG19" s="15" t="str">
        <f ca="1">IFERROR(IF(ISNUMBER(CF19),CC19+IF(CE19="No",INDEX('1.Items'!D2:D5,CF19),INDEX('1.Items'!E2:E5,CF19))," ")," ")</f>
        <v xml:space="preserve"> </v>
      </c>
      <c r="CH19" s="15" t="str">
        <f ca="1">IFERROR(IF(ISNUMBER(CF19),CD19+IF(CE19="No",INDEX('1.Items'!E2:E5,CF19),INDEX('1.Items'!D2:D5,CF19))," ")," ")</f>
        <v xml:space="preserve"> </v>
      </c>
      <c r="CI19" s="28" t="str">
        <f ca="1">IFERROR(IF(ISNUMBER(CF19),INDEX('1.Items'!G2:G37,CF19 )," ")," ")</f>
        <v xml:space="preserve"> </v>
      </c>
      <c r="CJ19" s="15" t="str">
        <f ca="1">IFERROR(IF(ISNUMBER(CF19),INDEX('1.Items'!F2:F37,CF19 )," ")," ")</f>
        <v xml:space="preserve"> </v>
      </c>
      <c r="CK19" s="15" t="str">
        <f ca="1">IFERROR(IF(ISNUMBER(CF19),INDEX('1.Items'!I2:I37,CF19 )," ")," ")</f>
        <v xml:space="preserve"> </v>
      </c>
    </row>
    <row r="20" spans="1:89" x14ac:dyDescent="0.25">
      <c r="A20" s="10">
        <v>15</v>
      </c>
      <c r="B20" s="23"/>
      <c r="C20" s="24"/>
      <c r="D20" s="24"/>
      <c r="E20" s="23"/>
      <c r="F20" s="25" t="str">
        <f ca="1">IFERROR(MATCH(INDIRECT("B20"),'1.Items'!$B$2:$B$5, 0)," ")</f>
        <v xml:space="preserve"> </v>
      </c>
      <c r="G20" s="11" t="str">
        <f ca="1">IFERROR(IF(ISNUMBER(F20),C20+IF(E20="No",INDEX('1.Items'!D2:D5,F20),INDEX('1.Items'!E2:E5,F20))," ")," ")</f>
        <v xml:space="preserve"> </v>
      </c>
      <c r="H20" s="11" t="str">
        <f ca="1">IFERROR(IF(ISNUMBER(F20),D20+IF(E20="No",INDEX('1.Items'!E2:E5,F20),INDEX('1.Items'!D2:D5,F20))," ")," ")</f>
        <v xml:space="preserve"> </v>
      </c>
      <c r="I20" s="25" t="str">
        <f ca="1">IFERROR(IF(ISNUMBER(F20),INDEX('1.Items'!G2:G37,F20 )," ")," ")</f>
        <v xml:space="preserve"> </v>
      </c>
      <c r="J20" s="11" t="str">
        <f ca="1">IFERROR(IF(ISNUMBER(F20),INDEX('1.Items'!F2:F37,F20 )," ")," ")</f>
        <v xml:space="preserve"> </v>
      </c>
      <c r="K20" s="11" t="str">
        <f ca="1">IFERROR(IF(ISNUMBER(F20),INDEX('1.Items'!I2:I37,F20 )," ")," ")</f>
        <v xml:space="preserve"> </v>
      </c>
      <c r="N20" s="10">
        <v>15</v>
      </c>
      <c r="O20" s="23"/>
      <c r="P20" s="24"/>
      <c r="Q20" s="24"/>
      <c r="R20" s="23"/>
      <c r="S20" s="25" t="str">
        <f ca="1">IFERROR(MATCH(INDIRECT("O20"),'1.Items'!$B$2:$B$5, 0)," ")</f>
        <v xml:space="preserve"> </v>
      </c>
      <c r="T20" s="11" t="str">
        <f ca="1">IFERROR(IF(ISNUMBER(S20),P20+IF(R20="No",INDEX('1.Items'!D2:D5,S20),INDEX('1.Items'!E2:E5,S20))," ")," ")</f>
        <v xml:space="preserve"> </v>
      </c>
      <c r="U20" s="11" t="str">
        <f ca="1">IFERROR(IF(ISNUMBER(S20),Q20+IF(R20="No",INDEX('1.Items'!E2:E5,S20),INDEX('1.Items'!D2:D5,S20))," ")," ")</f>
        <v xml:space="preserve"> </v>
      </c>
      <c r="V20" s="25" t="str">
        <f ca="1">IFERROR(IF(ISNUMBER(S20),INDEX('1.Items'!G2:G37,S20 )," ")," ")</f>
        <v xml:space="preserve"> </v>
      </c>
      <c r="W20" s="11" t="str">
        <f ca="1">IFERROR(IF(ISNUMBER(S20),INDEX('1.Items'!F2:F37,S20 )," ")," ")</f>
        <v xml:space="preserve"> </v>
      </c>
      <c r="X20" s="11" t="str">
        <f ca="1">IFERROR(IF(ISNUMBER(S20),INDEX('1.Items'!I2:I37,S20 )," ")," ")</f>
        <v xml:space="preserve"> </v>
      </c>
      <c r="AA20" s="10">
        <v>15</v>
      </c>
      <c r="AB20" s="23"/>
      <c r="AC20" s="24"/>
      <c r="AD20" s="24"/>
      <c r="AE20" s="23"/>
      <c r="AF20" s="25" t="str">
        <f ca="1">IFERROR(MATCH(INDIRECT("AB20"),'1.Items'!$B$2:$B$5, 0)," ")</f>
        <v xml:space="preserve"> </v>
      </c>
      <c r="AG20" s="11" t="str">
        <f ca="1">IFERROR(IF(ISNUMBER(AF20),AC20+IF(AE20="No",INDEX('1.Items'!D2:D5,AF20),INDEX('1.Items'!E2:E5,AF20))," ")," ")</f>
        <v xml:space="preserve"> </v>
      </c>
      <c r="AH20" s="11" t="str">
        <f ca="1">IFERROR(IF(ISNUMBER(AF20),AD20+IF(AE20="No",INDEX('1.Items'!E2:E5,AF20),INDEX('1.Items'!D2:D5,AF20))," ")," ")</f>
        <v xml:space="preserve"> </v>
      </c>
      <c r="AI20" s="25" t="str">
        <f ca="1">IFERROR(IF(ISNUMBER(AF20),INDEX('1.Items'!G2:G37,AF20 )," ")," ")</f>
        <v xml:space="preserve"> </v>
      </c>
      <c r="AJ20" s="11" t="str">
        <f ca="1">IFERROR(IF(ISNUMBER(AF20),INDEX('1.Items'!F2:F37,AF20 )," ")," ")</f>
        <v xml:space="preserve"> </v>
      </c>
      <c r="AK20" s="11" t="str">
        <f ca="1">IFERROR(IF(ISNUMBER(AF20),INDEX('1.Items'!I2:I37,AF20 )," ")," ")</f>
        <v xml:space="preserve"> </v>
      </c>
      <c r="AN20" s="10">
        <v>15</v>
      </c>
      <c r="AO20" s="23"/>
      <c r="AP20" s="24"/>
      <c r="AQ20" s="24"/>
      <c r="AR20" s="23"/>
      <c r="AS20" s="25" t="str">
        <f ca="1">IFERROR(MATCH(INDIRECT("AO20"),'1.Items'!$B$2:$B$5, 0)," ")</f>
        <v xml:space="preserve"> </v>
      </c>
      <c r="AT20" s="11" t="str">
        <f ca="1">IFERROR(IF(ISNUMBER(AS20),AP20+IF(AR20="No",INDEX('1.Items'!D2:D5,AS20),INDEX('1.Items'!E2:E5,AS20))," ")," ")</f>
        <v xml:space="preserve"> </v>
      </c>
      <c r="AU20" s="11" t="str">
        <f ca="1">IFERROR(IF(ISNUMBER(AS20),AQ20+IF(AR20="No",INDEX('1.Items'!E2:E5,AS20),INDEX('1.Items'!D2:D5,AS20))," ")," ")</f>
        <v xml:space="preserve"> </v>
      </c>
      <c r="AV20" s="25" t="str">
        <f ca="1">IFERROR(IF(ISNUMBER(AS20),INDEX('1.Items'!G2:G37,AS20 )," ")," ")</f>
        <v xml:space="preserve"> </v>
      </c>
      <c r="AW20" s="11" t="str">
        <f ca="1">IFERROR(IF(ISNUMBER(AS20),INDEX('1.Items'!F2:F37,AS20 )," ")," ")</f>
        <v xml:space="preserve"> </v>
      </c>
      <c r="AX20" s="11" t="str">
        <f ca="1">IFERROR(IF(ISNUMBER(AS20),INDEX('1.Items'!I2:I37,AS20 )," ")," ")</f>
        <v xml:space="preserve"> </v>
      </c>
      <c r="BA20" s="10">
        <v>15</v>
      </c>
      <c r="BB20" s="23"/>
      <c r="BC20" s="24"/>
      <c r="BD20" s="24"/>
      <c r="BE20" s="23"/>
      <c r="BF20" s="25" t="str">
        <f ca="1">IFERROR(MATCH(INDIRECT("BB20"),'1.Items'!$B$2:$B$5, 0)," ")</f>
        <v xml:space="preserve"> </v>
      </c>
      <c r="BG20" s="11" t="str">
        <f ca="1">IFERROR(IF(ISNUMBER(BF20),BC20+IF(BE20="No",INDEX('1.Items'!D2:D5,BF20),INDEX('1.Items'!E2:E5,BF20))," ")," ")</f>
        <v xml:space="preserve"> </v>
      </c>
      <c r="BH20" s="11" t="str">
        <f ca="1">IFERROR(IF(ISNUMBER(BF20),BD20+IF(BE20="No",INDEX('1.Items'!E2:E5,BF20),INDEX('1.Items'!D2:D5,BF20))," ")," ")</f>
        <v xml:space="preserve"> </v>
      </c>
      <c r="BI20" s="25" t="str">
        <f ca="1">IFERROR(IF(ISNUMBER(BF20),INDEX('1.Items'!G2:G37,BF20 )," ")," ")</f>
        <v xml:space="preserve"> </v>
      </c>
      <c r="BJ20" s="11" t="str">
        <f ca="1">IFERROR(IF(ISNUMBER(BF20),INDEX('1.Items'!F2:F37,BF20 )," ")," ")</f>
        <v xml:space="preserve"> </v>
      </c>
      <c r="BK20" s="11" t="str">
        <f ca="1">IFERROR(IF(ISNUMBER(BF20),INDEX('1.Items'!I2:I37,BF20 )," ")," ")</f>
        <v xml:space="preserve"> </v>
      </c>
      <c r="BN20" s="10">
        <v>15</v>
      </c>
      <c r="BO20" s="23"/>
      <c r="BP20" s="24"/>
      <c r="BQ20" s="24"/>
      <c r="BR20" s="23"/>
      <c r="BS20" s="25" t="str">
        <f ca="1">IFERROR(MATCH(INDIRECT("BO20"),'1.Items'!$B$2:$B$5, 0)," ")</f>
        <v xml:space="preserve"> </v>
      </c>
      <c r="BT20" s="11" t="str">
        <f ca="1">IFERROR(IF(ISNUMBER(BS20),BP20+IF(BR20="No",INDEX('1.Items'!D2:D5,BS20),INDEX('1.Items'!E2:E5,BS20))," ")," ")</f>
        <v xml:space="preserve"> </v>
      </c>
      <c r="BU20" s="11" t="str">
        <f ca="1">IFERROR(IF(ISNUMBER(BS20),BQ20+IF(BR20="No",INDEX('1.Items'!E2:E5,BS20),INDEX('1.Items'!D2:D5,BS20))," ")," ")</f>
        <v xml:space="preserve"> </v>
      </c>
      <c r="BV20" s="25" t="str">
        <f ca="1">IFERROR(IF(ISNUMBER(BS20),INDEX('1.Items'!G2:G37,BS20 )," ")," ")</f>
        <v xml:space="preserve"> </v>
      </c>
      <c r="BW20" s="11" t="str">
        <f ca="1">IFERROR(IF(ISNUMBER(BS20),INDEX('1.Items'!F2:F37,BS20 )," ")," ")</f>
        <v xml:space="preserve"> </v>
      </c>
      <c r="BX20" s="11" t="str">
        <f ca="1">IFERROR(IF(ISNUMBER(BS20),INDEX('1.Items'!I2:I37,BS20 )," ")," ")</f>
        <v xml:space="preserve"> </v>
      </c>
      <c r="CA20" s="10">
        <v>15</v>
      </c>
      <c r="CB20" s="23"/>
      <c r="CC20" s="24"/>
      <c r="CD20" s="24"/>
      <c r="CE20" s="23"/>
      <c r="CF20" s="25" t="str">
        <f ca="1">IFERROR(MATCH(INDIRECT("CB20"),'1.Items'!$B$2:$B$5, 0)," ")</f>
        <v xml:space="preserve"> </v>
      </c>
      <c r="CG20" s="11" t="str">
        <f ca="1">IFERROR(IF(ISNUMBER(CF20),CC20+IF(CE20="No",INDEX('1.Items'!D2:D5,CF20),INDEX('1.Items'!E2:E5,CF20))," ")," ")</f>
        <v xml:space="preserve"> </v>
      </c>
      <c r="CH20" s="11" t="str">
        <f ca="1">IFERROR(IF(ISNUMBER(CF20),CD20+IF(CE20="No",INDEX('1.Items'!E2:E5,CF20),INDEX('1.Items'!D2:D5,CF20))," ")," ")</f>
        <v xml:space="preserve"> </v>
      </c>
      <c r="CI20" s="25" t="str">
        <f ca="1">IFERROR(IF(ISNUMBER(CF20),INDEX('1.Items'!G2:G37,CF20 )," ")," ")</f>
        <v xml:space="preserve"> </v>
      </c>
      <c r="CJ20" s="11" t="str">
        <f ca="1">IFERROR(IF(ISNUMBER(CF20),INDEX('1.Items'!F2:F37,CF20 )," ")," ")</f>
        <v xml:space="preserve"> </v>
      </c>
      <c r="CK20" s="11" t="str">
        <f ca="1">IFERROR(IF(ISNUMBER(CF20),INDEX('1.Items'!I2:I37,CF20 )," ")," ")</f>
        <v xml:space="preserve"> </v>
      </c>
    </row>
    <row r="22" spans="1:89" x14ac:dyDescent="0.25">
      <c r="A22" s="3" t="s">
        <v>56</v>
      </c>
    </row>
  </sheetData>
  <mergeCells count="26">
    <mergeCell ref="FC4:FD4"/>
    <mergeCell ref="FG4:FH4"/>
    <mergeCell ref="DP4:DQ4"/>
    <mergeCell ref="DT4:DU4"/>
    <mergeCell ref="EC4:ED4"/>
    <mergeCell ref="EG4:EH4"/>
    <mergeCell ref="EP4:EQ4"/>
    <mergeCell ref="ET4:EU4"/>
    <mergeCell ref="CC4:CD4"/>
    <mergeCell ref="CG4:CH4"/>
    <mergeCell ref="CP4:CQ4"/>
    <mergeCell ref="CT4:CU4"/>
    <mergeCell ref="DC4:DD4"/>
    <mergeCell ref="DG4:DH4"/>
    <mergeCell ref="AP4:AQ4"/>
    <mergeCell ref="AT4:AU4"/>
    <mergeCell ref="BC4:BD4"/>
    <mergeCell ref="BG4:BH4"/>
    <mergeCell ref="BP4:BQ4"/>
    <mergeCell ref="BT4:BU4"/>
    <mergeCell ref="C4:D4"/>
    <mergeCell ref="G4:H4"/>
    <mergeCell ref="P4:Q4"/>
    <mergeCell ref="T4:U4"/>
    <mergeCell ref="AC4:AD4"/>
    <mergeCell ref="AG4:AH4"/>
  </mergeCells>
  <conditionalFormatting sqref="G6:G20">
    <cfRule type="cellIs" dxfId="444" priority="1" stopIfTrue="1" operator="equal">
      <formula>" "</formula>
    </cfRule>
  </conditionalFormatting>
  <conditionalFormatting sqref="H6:H20">
    <cfRule type="cellIs" dxfId="443" priority="2" stopIfTrue="1" operator="equal">
      <formula>" "</formula>
    </cfRule>
  </conditionalFormatting>
  <conditionalFormatting sqref="C6">
    <cfRule type="expression" dxfId="442" priority="3" stopIfTrue="1">
      <formula>ISBLANK(B6)</formula>
    </cfRule>
  </conditionalFormatting>
  <conditionalFormatting sqref="D6">
    <cfRule type="expression" dxfId="441" priority="4" stopIfTrue="1">
      <formula>ISBLANK(B6)</formula>
    </cfRule>
  </conditionalFormatting>
  <conditionalFormatting sqref="E6">
    <cfRule type="expression" dxfId="440" priority="5" stopIfTrue="1">
      <formula>ISBLANK(B6)</formula>
    </cfRule>
  </conditionalFormatting>
  <conditionalFormatting sqref="C7">
    <cfRule type="expression" dxfId="439" priority="6" stopIfTrue="1">
      <formula>ISBLANK(B7)</formula>
    </cfRule>
  </conditionalFormatting>
  <conditionalFormatting sqref="D7">
    <cfRule type="expression" dxfId="438" priority="7" stopIfTrue="1">
      <formula>ISBLANK(B7)</formula>
    </cfRule>
  </conditionalFormatting>
  <conditionalFormatting sqref="E7">
    <cfRule type="expression" dxfId="437" priority="8" stopIfTrue="1">
      <formula>ISBLANK(B7)</formula>
    </cfRule>
  </conditionalFormatting>
  <conditionalFormatting sqref="C8">
    <cfRule type="expression" dxfId="436" priority="9" stopIfTrue="1">
      <formula>ISBLANK(B8)</formula>
    </cfRule>
  </conditionalFormatting>
  <conditionalFormatting sqref="D8">
    <cfRule type="expression" dxfId="435" priority="10" stopIfTrue="1">
      <formula>ISBLANK(B8)</formula>
    </cfRule>
  </conditionalFormatting>
  <conditionalFormatting sqref="E8">
    <cfRule type="expression" dxfId="434" priority="11" stopIfTrue="1">
      <formula>ISBLANK(B8)</formula>
    </cfRule>
  </conditionalFormatting>
  <conditionalFormatting sqref="C9">
    <cfRule type="expression" dxfId="433" priority="12" stopIfTrue="1">
      <formula>ISBLANK(B9)</formula>
    </cfRule>
  </conditionalFormatting>
  <conditionalFormatting sqref="D9">
    <cfRule type="expression" dxfId="432" priority="13" stopIfTrue="1">
      <formula>ISBLANK(B9)</formula>
    </cfRule>
  </conditionalFormatting>
  <conditionalFormatting sqref="E9">
    <cfRule type="expression" dxfId="431" priority="14" stopIfTrue="1">
      <formula>ISBLANK(B9)</formula>
    </cfRule>
  </conditionalFormatting>
  <conditionalFormatting sqref="C10">
    <cfRule type="expression" dxfId="430" priority="15" stopIfTrue="1">
      <formula>ISBLANK(B10)</formula>
    </cfRule>
  </conditionalFormatting>
  <conditionalFormatting sqref="D10">
    <cfRule type="expression" dxfId="429" priority="16" stopIfTrue="1">
      <formula>ISBLANK(B10)</formula>
    </cfRule>
  </conditionalFormatting>
  <conditionalFormatting sqref="E10">
    <cfRule type="expression" dxfId="428" priority="17" stopIfTrue="1">
      <formula>ISBLANK(B10)</formula>
    </cfRule>
  </conditionalFormatting>
  <conditionalFormatting sqref="C11">
    <cfRule type="expression" dxfId="427" priority="18" stopIfTrue="1">
      <formula>ISBLANK(B11)</formula>
    </cfRule>
  </conditionalFormatting>
  <conditionalFormatting sqref="D11">
    <cfRule type="expression" dxfId="426" priority="19" stopIfTrue="1">
      <formula>ISBLANK(B11)</formula>
    </cfRule>
  </conditionalFormatting>
  <conditionalFormatting sqref="E11">
    <cfRule type="expression" dxfId="425" priority="20" stopIfTrue="1">
      <formula>ISBLANK(B11)</formula>
    </cfRule>
  </conditionalFormatting>
  <conditionalFormatting sqref="C12">
    <cfRule type="expression" dxfId="424" priority="21" stopIfTrue="1">
      <formula>ISBLANK(B12)</formula>
    </cfRule>
  </conditionalFormatting>
  <conditionalFormatting sqref="D12">
    <cfRule type="expression" dxfId="423" priority="22" stopIfTrue="1">
      <formula>ISBLANK(B12)</formula>
    </cfRule>
  </conditionalFormatting>
  <conditionalFormatting sqref="E12">
    <cfRule type="expression" dxfId="422" priority="23" stopIfTrue="1">
      <formula>ISBLANK(B12)</formula>
    </cfRule>
  </conditionalFormatting>
  <conditionalFormatting sqref="C13">
    <cfRule type="expression" dxfId="421" priority="24" stopIfTrue="1">
      <formula>ISBLANK(B13)</formula>
    </cfRule>
  </conditionalFormatting>
  <conditionalFormatting sqref="D13">
    <cfRule type="expression" dxfId="420" priority="25" stopIfTrue="1">
      <formula>ISBLANK(B13)</formula>
    </cfRule>
  </conditionalFormatting>
  <conditionalFormatting sqref="E13">
    <cfRule type="expression" dxfId="419" priority="26" stopIfTrue="1">
      <formula>ISBLANK(B13)</formula>
    </cfRule>
  </conditionalFormatting>
  <conditionalFormatting sqref="C14">
    <cfRule type="expression" dxfId="418" priority="27" stopIfTrue="1">
      <formula>ISBLANK(B14)</formula>
    </cfRule>
  </conditionalFormatting>
  <conditionalFormatting sqref="D14">
    <cfRule type="expression" dxfId="417" priority="28" stopIfTrue="1">
      <formula>ISBLANK(B14)</formula>
    </cfRule>
  </conditionalFormatting>
  <conditionalFormatting sqref="E14">
    <cfRule type="expression" dxfId="416" priority="29" stopIfTrue="1">
      <formula>ISBLANK(B14)</formula>
    </cfRule>
  </conditionalFormatting>
  <conditionalFormatting sqref="C15">
    <cfRule type="expression" dxfId="415" priority="30" stopIfTrue="1">
      <formula>ISBLANK(B15)</formula>
    </cfRule>
  </conditionalFormatting>
  <conditionalFormatting sqref="D15">
    <cfRule type="expression" dxfId="414" priority="31" stopIfTrue="1">
      <formula>ISBLANK(B15)</formula>
    </cfRule>
  </conditionalFormatting>
  <conditionalFormatting sqref="E15">
    <cfRule type="expression" dxfId="413" priority="32" stopIfTrue="1">
      <formula>ISBLANK(B15)</formula>
    </cfRule>
  </conditionalFormatting>
  <conditionalFormatting sqref="C16">
    <cfRule type="expression" dxfId="412" priority="33" stopIfTrue="1">
      <formula>ISBLANK(B16)</formula>
    </cfRule>
  </conditionalFormatting>
  <conditionalFormatting sqref="D16">
    <cfRule type="expression" dxfId="411" priority="34" stopIfTrue="1">
      <formula>ISBLANK(B16)</formula>
    </cfRule>
  </conditionalFormatting>
  <conditionalFormatting sqref="E16">
    <cfRule type="expression" dxfId="410" priority="35" stopIfTrue="1">
      <formula>ISBLANK(B16)</formula>
    </cfRule>
  </conditionalFormatting>
  <conditionalFormatting sqref="C17">
    <cfRule type="expression" dxfId="409" priority="36" stopIfTrue="1">
      <formula>ISBLANK(B17)</formula>
    </cfRule>
  </conditionalFormatting>
  <conditionalFormatting sqref="D17">
    <cfRule type="expression" dxfId="408" priority="37" stopIfTrue="1">
      <formula>ISBLANK(B17)</formula>
    </cfRule>
  </conditionalFormatting>
  <conditionalFormatting sqref="E17">
    <cfRule type="expression" dxfId="407" priority="38" stopIfTrue="1">
      <formula>ISBLANK(B17)</formula>
    </cfRule>
  </conditionalFormatting>
  <conditionalFormatting sqref="C18">
    <cfRule type="expression" dxfId="406" priority="39" stopIfTrue="1">
      <formula>ISBLANK(B18)</formula>
    </cfRule>
  </conditionalFormatting>
  <conditionalFormatting sqref="D18">
    <cfRule type="expression" dxfId="405" priority="40" stopIfTrue="1">
      <formula>ISBLANK(B18)</formula>
    </cfRule>
  </conditionalFormatting>
  <conditionalFormatting sqref="E18">
    <cfRule type="expression" dxfId="404" priority="41" stopIfTrue="1">
      <formula>ISBLANK(B18)</formula>
    </cfRule>
  </conditionalFormatting>
  <conditionalFormatting sqref="C19">
    <cfRule type="expression" dxfId="403" priority="42" stopIfTrue="1">
      <formula>ISBLANK(B19)</formula>
    </cfRule>
  </conditionalFormatting>
  <conditionalFormatting sqref="D19">
    <cfRule type="expression" dxfId="402" priority="43" stopIfTrue="1">
      <formula>ISBLANK(B19)</formula>
    </cfRule>
  </conditionalFormatting>
  <conditionalFormatting sqref="E19">
    <cfRule type="expression" dxfId="401" priority="44" stopIfTrue="1">
      <formula>ISBLANK(B19)</formula>
    </cfRule>
  </conditionalFormatting>
  <conditionalFormatting sqref="C20">
    <cfRule type="expression" dxfId="400" priority="45" stopIfTrue="1">
      <formula>ISBLANK(B20)</formula>
    </cfRule>
  </conditionalFormatting>
  <conditionalFormatting sqref="D20">
    <cfRule type="expression" dxfId="399" priority="46" stopIfTrue="1">
      <formula>ISBLANK(B20)</formula>
    </cfRule>
  </conditionalFormatting>
  <conditionalFormatting sqref="E20">
    <cfRule type="expression" dxfId="398" priority="47" stopIfTrue="1">
      <formula>ISBLANK(B20)</formula>
    </cfRule>
  </conditionalFormatting>
  <conditionalFormatting sqref="J4">
    <cfRule type="cellIs" dxfId="397" priority="48" stopIfTrue="1" operator="greaterThan">
      <formula>7.5</formula>
    </cfRule>
  </conditionalFormatting>
  <conditionalFormatting sqref="T6:T20">
    <cfRule type="cellIs" dxfId="396" priority="49" stopIfTrue="1" operator="equal">
      <formula>" "</formula>
    </cfRule>
  </conditionalFormatting>
  <conditionalFormatting sqref="U6:U20">
    <cfRule type="cellIs" dxfId="395" priority="50" stopIfTrue="1" operator="equal">
      <formula>" "</formula>
    </cfRule>
  </conditionalFormatting>
  <conditionalFormatting sqref="P6">
    <cfRule type="expression" dxfId="394" priority="51" stopIfTrue="1">
      <formula>ISBLANK(O6)</formula>
    </cfRule>
  </conditionalFormatting>
  <conditionalFormatting sqref="Q6">
    <cfRule type="expression" dxfId="393" priority="52" stopIfTrue="1">
      <formula>ISBLANK(O6)</formula>
    </cfRule>
  </conditionalFormatting>
  <conditionalFormatting sqref="R6">
    <cfRule type="expression" dxfId="392" priority="53" stopIfTrue="1">
      <formula>ISBLANK(O6)</formula>
    </cfRule>
  </conditionalFormatting>
  <conditionalFormatting sqref="P7">
    <cfRule type="expression" dxfId="391" priority="54" stopIfTrue="1">
      <formula>ISBLANK(O7)</formula>
    </cfRule>
  </conditionalFormatting>
  <conditionalFormatting sqref="Q7">
    <cfRule type="expression" dxfId="390" priority="55" stopIfTrue="1">
      <formula>ISBLANK(O7)</formula>
    </cfRule>
  </conditionalFormatting>
  <conditionalFormatting sqref="R7">
    <cfRule type="expression" dxfId="389" priority="56" stopIfTrue="1">
      <formula>ISBLANK(O7)</formula>
    </cfRule>
  </conditionalFormatting>
  <conditionalFormatting sqref="P8">
    <cfRule type="expression" dxfId="388" priority="57" stopIfTrue="1">
      <formula>ISBLANK(O8)</formula>
    </cfRule>
  </conditionalFormatting>
  <conditionalFormatting sqref="Q8">
    <cfRule type="expression" dxfId="387" priority="58" stopIfTrue="1">
      <formula>ISBLANK(O8)</formula>
    </cfRule>
  </conditionalFormatting>
  <conditionalFormatting sqref="R8">
    <cfRule type="expression" dxfId="386" priority="59" stopIfTrue="1">
      <formula>ISBLANK(O8)</formula>
    </cfRule>
  </conditionalFormatting>
  <conditionalFormatting sqref="P9">
    <cfRule type="expression" dxfId="385" priority="60" stopIfTrue="1">
      <formula>ISBLANK(O9)</formula>
    </cfRule>
  </conditionalFormatting>
  <conditionalFormatting sqref="Q9">
    <cfRule type="expression" dxfId="384" priority="61" stopIfTrue="1">
      <formula>ISBLANK(O9)</formula>
    </cfRule>
  </conditionalFormatting>
  <conditionalFormatting sqref="R9">
    <cfRule type="expression" dxfId="383" priority="62" stopIfTrue="1">
      <formula>ISBLANK(O9)</formula>
    </cfRule>
  </conditionalFormatting>
  <conditionalFormatting sqref="P10">
    <cfRule type="expression" dxfId="382" priority="63" stopIfTrue="1">
      <formula>ISBLANK(O10)</formula>
    </cfRule>
  </conditionalFormatting>
  <conditionalFormatting sqref="Q10">
    <cfRule type="expression" dxfId="381" priority="64" stopIfTrue="1">
      <formula>ISBLANK(O10)</formula>
    </cfRule>
  </conditionalFormatting>
  <conditionalFormatting sqref="R10">
    <cfRule type="expression" dxfId="380" priority="65" stopIfTrue="1">
      <formula>ISBLANK(O10)</formula>
    </cfRule>
  </conditionalFormatting>
  <conditionalFormatting sqref="P11">
    <cfRule type="expression" dxfId="379" priority="66" stopIfTrue="1">
      <formula>ISBLANK(O11)</formula>
    </cfRule>
  </conditionalFormatting>
  <conditionalFormatting sqref="Q11">
    <cfRule type="expression" dxfId="378" priority="67" stopIfTrue="1">
      <formula>ISBLANK(O11)</formula>
    </cfRule>
  </conditionalFormatting>
  <conditionalFormatting sqref="R11">
    <cfRule type="expression" dxfId="377" priority="68" stopIfTrue="1">
      <formula>ISBLANK(O11)</formula>
    </cfRule>
  </conditionalFormatting>
  <conditionalFormatting sqref="P12">
    <cfRule type="expression" dxfId="376" priority="69" stopIfTrue="1">
      <formula>ISBLANK(O12)</formula>
    </cfRule>
  </conditionalFormatting>
  <conditionalFormatting sqref="Q12">
    <cfRule type="expression" dxfId="375" priority="70" stopIfTrue="1">
      <formula>ISBLANK(O12)</formula>
    </cfRule>
  </conditionalFormatting>
  <conditionalFormatting sqref="R12">
    <cfRule type="expression" dxfId="374" priority="71" stopIfTrue="1">
      <formula>ISBLANK(O12)</formula>
    </cfRule>
  </conditionalFormatting>
  <conditionalFormatting sqref="P13">
    <cfRule type="expression" dxfId="373" priority="72" stopIfTrue="1">
      <formula>ISBLANK(O13)</formula>
    </cfRule>
  </conditionalFormatting>
  <conditionalFormatting sqref="Q13">
    <cfRule type="expression" dxfId="372" priority="73" stopIfTrue="1">
      <formula>ISBLANK(O13)</formula>
    </cfRule>
  </conditionalFormatting>
  <conditionalFormatting sqref="R13">
    <cfRule type="expression" dxfId="371" priority="74" stopIfTrue="1">
      <formula>ISBLANK(O13)</formula>
    </cfRule>
  </conditionalFormatting>
  <conditionalFormatting sqref="P14">
    <cfRule type="expression" dxfId="370" priority="75" stopIfTrue="1">
      <formula>ISBLANK(O14)</formula>
    </cfRule>
  </conditionalFormatting>
  <conditionalFormatting sqref="Q14">
    <cfRule type="expression" dxfId="369" priority="76" stopIfTrue="1">
      <formula>ISBLANK(O14)</formula>
    </cfRule>
  </conditionalFormatting>
  <conditionalFormatting sqref="R14">
    <cfRule type="expression" dxfId="368" priority="77" stopIfTrue="1">
      <formula>ISBLANK(O14)</formula>
    </cfRule>
  </conditionalFormatting>
  <conditionalFormatting sqref="P15">
    <cfRule type="expression" dxfId="367" priority="78" stopIfTrue="1">
      <formula>ISBLANK(O15)</formula>
    </cfRule>
  </conditionalFormatting>
  <conditionalFormatting sqref="Q15">
    <cfRule type="expression" dxfId="366" priority="79" stopIfTrue="1">
      <formula>ISBLANK(O15)</formula>
    </cfRule>
  </conditionalFormatting>
  <conditionalFormatting sqref="R15">
    <cfRule type="expression" dxfId="365" priority="80" stopIfTrue="1">
      <formula>ISBLANK(O15)</formula>
    </cfRule>
  </conditionalFormatting>
  <conditionalFormatting sqref="P16">
    <cfRule type="expression" dxfId="364" priority="81" stopIfTrue="1">
      <formula>ISBLANK(O16)</formula>
    </cfRule>
  </conditionalFormatting>
  <conditionalFormatting sqref="Q16">
    <cfRule type="expression" dxfId="363" priority="82" stopIfTrue="1">
      <formula>ISBLANK(O16)</formula>
    </cfRule>
  </conditionalFormatting>
  <conditionalFormatting sqref="R16">
    <cfRule type="expression" dxfId="362" priority="83" stopIfTrue="1">
      <formula>ISBLANK(O16)</formula>
    </cfRule>
  </conditionalFormatting>
  <conditionalFormatting sqref="P17">
    <cfRule type="expression" dxfId="361" priority="84" stopIfTrue="1">
      <formula>ISBLANK(O17)</formula>
    </cfRule>
  </conditionalFormatting>
  <conditionalFormatting sqref="Q17">
    <cfRule type="expression" dxfId="360" priority="85" stopIfTrue="1">
      <formula>ISBLANK(O17)</formula>
    </cfRule>
  </conditionalFormatting>
  <conditionalFormatting sqref="R17">
    <cfRule type="expression" dxfId="359" priority="86" stopIfTrue="1">
      <formula>ISBLANK(O17)</formula>
    </cfRule>
  </conditionalFormatting>
  <conditionalFormatting sqref="P18">
    <cfRule type="expression" dxfId="358" priority="87" stopIfTrue="1">
      <formula>ISBLANK(O18)</formula>
    </cfRule>
  </conditionalFormatting>
  <conditionalFormatting sqref="Q18">
    <cfRule type="expression" dxfId="357" priority="88" stopIfTrue="1">
      <formula>ISBLANK(O18)</formula>
    </cfRule>
  </conditionalFormatting>
  <conditionalFormatting sqref="R18">
    <cfRule type="expression" dxfId="356" priority="89" stopIfTrue="1">
      <formula>ISBLANK(O18)</formula>
    </cfRule>
  </conditionalFormatting>
  <conditionalFormatting sqref="P19">
    <cfRule type="expression" dxfId="355" priority="90" stopIfTrue="1">
      <formula>ISBLANK(O19)</formula>
    </cfRule>
  </conditionalFormatting>
  <conditionalFormatting sqref="Q19">
    <cfRule type="expression" dxfId="354" priority="91" stopIfTrue="1">
      <formula>ISBLANK(O19)</formula>
    </cfRule>
  </conditionalFormatting>
  <conditionalFormatting sqref="R19">
    <cfRule type="expression" dxfId="353" priority="92" stopIfTrue="1">
      <formula>ISBLANK(O19)</formula>
    </cfRule>
  </conditionalFormatting>
  <conditionalFormatting sqref="P20">
    <cfRule type="expression" dxfId="352" priority="93" stopIfTrue="1">
      <formula>ISBLANK(O20)</formula>
    </cfRule>
  </conditionalFormatting>
  <conditionalFormatting sqref="Q20">
    <cfRule type="expression" dxfId="351" priority="94" stopIfTrue="1">
      <formula>ISBLANK(O20)</formula>
    </cfRule>
  </conditionalFormatting>
  <conditionalFormatting sqref="R20">
    <cfRule type="expression" dxfId="350" priority="95" stopIfTrue="1">
      <formula>ISBLANK(O20)</formula>
    </cfRule>
  </conditionalFormatting>
  <conditionalFormatting sqref="W4">
    <cfRule type="cellIs" dxfId="349" priority="96" stopIfTrue="1" operator="greaterThan">
      <formula>7.5</formula>
    </cfRule>
  </conditionalFormatting>
  <conditionalFormatting sqref="AG6:AG20">
    <cfRule type="cellIs" dxfId="348" priority="97" stopIfTrue="1" operator="equal">
      <formula>" "</formula>
    </cfRule>
  </conditionalFormatting>
  <conditionalFormatting sqref="AH6:AH20">
    <cfRule type="cellIs" dxfId="347" priority="98" stopIfTrue="1" operator="equal">
      <formula>" "</formula>
    </cfRule>
  </conditionalFormatting>
  <conditionalFormatting sqref="AC6">
    <cfRule type="expression" dxfId="346" priority="99" stopIfTrue="1">
      <formula>ISBLANK(AB6)</formula>
    </cfRule>
  </conditionalFormatting>
  <conditionalFormatting sqref="AD6">
    <cfRule type="expression" dxfId="345" priority="100" stopIfTrue="1">
      <formula>ISBLANK(AB6)</formula>
    </cfRule>
  </conditionalFormatting>
  <conditionalFormatting sqref="AE6">
    <cfRule type="expression" dxfId="344" priority="101" stopIfTrue="1">
      <formula>ISBLANK(AB6)</formula>
    </cfRule>
  </conditionalFormatting>
  <conditionalFormatting sqref="AC7">
    <cfRule type="expression" dxfId="343" priority="102" stopIfTrue="1">
      <formula>ISBLANK(AB7)</formula>
    </cfRule>
  </conditionalFormatting>
  <conditionalFormatting sqref="AD7">
    <cfRule type="expression" dxfId="342" priority="103" stopIfTrue="1">
      <formula>ISBLANK(AB7)</formula>
    </cfRule>
  </conditionalFormatting>
  <conditionalFormatting sqref="AE7">
    <cfRule type="expression" dxfId="341" priority="104" stopIfTrue="1">
      <formula>ISBLANK(AB7)</formula>
    </cfRule>
  </conditionalFormatting>
  <conditionalFormatting sqref="AC8">
    <cfRule type="expression" dxfId="340" priority="105" stopIfTrue="1">
      <formula>ISBLANK(AB8)</formula>
    </cfRule>
  </conditionalFormatting>
  <conditionalFormatting sqref="AD8">
    <cfRule type="expression" dxfId="339" priority="106" stopIfTrue="1">
      <formula>ISBLANK(AB8)</formula>
    </cfRule>
  </conditionalFormatting>
  <conditionalFormatting sqref="AE8">
    <cfRule type="expression" dxfId="338" priority="107" stopIfTrue="1">
      <formula>ISBLANK(AB8)</formula>
    </cfRule>
  </conditionalFormatting>
  <conditionalFormatting sqref="AC9">
    <cfRule type="expression" dxfId="337" priority="108" stopIfTrue="1">
      <formula>ISBLANK(AB9)</formula>
    </cfRule>
  </conditionalFormatting>
  <conditionalFormatting sqref="AD9">
    <cfRule type="expression" dxfId="336" priority="109" stopIfTrue="1">
      <formula>ISBLANK(AB9)</formula>
    </cfRule>
  </conditionalFormatting>
  <conditionalFormatting sqref="AE9">
    <cfRule type="expression" dxfId="335" priority="110" stopIfTrue="1">
      <formula>ISBLANK(AB9)</formula>
    </cfRule>
  </conditionalFormatting>
  <conditionalFormatting sqref="AC10">
    <cfRule type="expression" dxfId="334" priority="111" stopIfTrue="1">
      <formula>ISBLANK(AB10)</formula>
    </cfRule>
  </conditionalFormatting>
  <conditionalFormatting sqref="AD10">
    <cfRule type="expression" dxfId="333" priority="112" stopIfTrue="1">
      <formula>ISBLANK(AB10)</formula>
    </cfRule>
  </conditionalFormatting>
  <conditionalFormatting sqref="AE10">
    <cfRule type="expression" dxfId="332" priority="113" stopIfTrue="1">
      <formula>ISBLANK(AB10)</formula>
    </cfRule>
  </conditionalFormatting>
  <conditionalFormatting sqref="AC11">
    <cfRule type="expression" dxfId="331" priority="114" stopIfTrue="1">
      <formula>ISBLANK(AB11)</formula>
    </cfRule>
  </conditionalFormatting>
  <conditionalFormatting sqref="AD11">
    <cfRule type="expression" dxfId="330" priority="115" stopIfTrue="1">
      <formula>ISBLANK(AB11)</formula>
    </cfRule>
  </conditionalFormatting>
  <conditionalFormatting sqref="AE11">
    <cfRule type="expression" dxfId="329" priority="116" stopIfTrue="1">
      <formula>ISBLANK(AB11)</formula>
    </cfRule>
  </conditionalFormatting>
  <conditionalFormatting sqref="AC12">
    <cfRule type="expression" dxfId="328" priority="117" stopIfTrue="1">
      <formula>ISBLANK(AB12)</formula>
    </cfRule>
  </conditionalFormatting>
  <conditionalFormatting sqref="AD12">
    <cfRule type="expression" dxfId="327" priority="118" stopIfTrue="1">
      <formula>ISBLANK(AB12)</formula>
    </cfRule>
  </conditionalFormatting>
  <conditionalFormatting sqref="AE12">
    <cfRule type="expression" dxfId="326" priority="119" stopIfTrue="1">
      <formula>ISBLANK(AB12)</formula>
    </cfRule>
  </conditionalFormatting>
  <conditionalFormatting sqref="AC13">
    <cfRule type="expression" dxfId="325" priority="120" stopIfTrue="1">
      <formula>ISBLANK(AB13)</formula>
    </cfRule>
  </conditionalFormatting>
  <conditionalFormatting sqref="AD13">
    <cfRule type="expression" dxfId="324" priority="121" stopIfTrue="1">
      <formula>ISBLANK(AB13)</formula>
    </cfRule>
  </conditionalFormatting>
  <conditionalFormatting sqref="AE13">
    <cfRule type="expression" dxfId="323" priority="122" stopIfTrue="1">
      <formula>ISBLANK(AB13)</formula>
    </cfRule>
  </conditionalFormatting>
  <conditionalFormatting sqref="AC14">
    <cfRule type="expression" dxfId="322" priority="123" stopIfTrue="1">
      <formula>ISBLANK(AB14)</formula>
    </cfRule>
  </conditionalFormatting>
  <conditionalFormatting sqref="AD14">
    <cfRule type="expression" dxfId="321" priority="124" stopIfTrue="1">
      <formula>ISBLANK(AB14)</formula>
    </cfRule>
  </conditionalFormatting>
  <conditionalFormatting sqref="AE14">
    <cfRule type="expression" dxfId="320" priority="125" stopIfTrue="1">
      <formula>ISBLANK(AB14)</formula>
    </cfRule>
  </conditionalFormatting>
  <conditionalFormatting sqref="AC15">
    <cfRule type="expression" dxfId="319" priority="126" stopIfTrue="1">
      <formula>ISBLANK(AB15)</formula>
    </cfRule>
  </conditionalFormatting>
  <conditionalFormatting sqref="AD15">
    <cfRule type="expression" dxfId="318" priority="127" stopIfTrue="1">
      <formula>ISBLANK(AB15)</formula>
    </cfRule>
  </conditionalFormatting>
  <conditionalFormatting sqref="AE15">
    <cfRule type="expression" dxfId="317" priority="128" stopIfTrue="1">
      <formula>ISBLANK(AB15)</formula>
    </cfRule>
  </conditionalFormatting>
  <conditionalFormatting sqref="AC16">
    <cfRule type="expression" dxfId="316" priority="129" stopIfTrue="1">
      <formula>ISBLANK(AB16)</formula>
    </cfRule>
  </conditionalFormatting>
  <conditionalFormatting sqref="AD16">
    <cfRule type="expression" dxfId="315" priority="130" stopIfTrue="1">
      <formula>ISBLANK(AB16)</formula>
    </cfRule>
  </conditionalFormatting>
  <conditionalFormatting sqref="AE16">
    <cfRule type="expression" dxfId="314" priority="131" stopIfTrue="1">
      <formula>ISBLANK(AB16)</formula>
    </cfRule>
  </conditionalFormatting>
  <conditionalFormatting sqref="AC17">
    <cfRule type="expression" dxfId="313" priority="132" stopIfTrue="1">
      <formula>ISBLANK(AB17)</formula>
    </cfRule>
  </conditionalFormatting>
  <conditionalFormatting sqref="AD17">
    <cfRule type="expression" dxfId="312" priority="133" stopIfTrue="1">
      <formula>ISBLANK(AB17)</formula>
    </cfRule>
  </conditionalFormatting>
  <conditionalFormatting sqref="AE17">
    <cfRule type="expression" dxfId="311" priority="134" stopIfTrue="1">
      <formula>ISBLANK(AB17)</formula>
    </cfRule>
  </conditionalFormatting>
  <conditionalFormatting sqref="AC18">
    <cfRule type="expression" dxfId="310" priority="135" stopIfTrue="1">
      <formula>ISBLANK(AB18)</formula>
    </cfRule>
  </conditionalFormatting>
  <conditionalFormatting sqref="AD18">
    <cfRule type="expression" dxfId="309" priority="136" stopIfTrue="1">
      <formula>ISBLANK(AB18)</formula>
    </cfRule>
  </conditionalFormatting>
  <conditionalFormatting sqref="AE18">
    <cfRule type="expression" dxfId="308" priority="137" stopIfTrue="1">
      <formula>ISBLANK(AB18)</formula>
    </cfRule>
  </conditionalFormatting>
  <conditionalFormatting sqref="AC19">
    <cfRule type="expression" dxfId="307" priority="138" stopIfTrue="1">
      <formula>ISBLANK(AB19)</formula>
    </cfRule>
  </conditionalFormatting>
  <conditionalFormatting sqref="AD19">
    <cfRule type="expression" dxfId="306" priority="139" stopIfTrue="1">
      <formula>ISBLANK(AB19)</formula>
    </cfRule>
  </conditionalFormatting>
  <conditionalFormatting sqref="AE19">
    <cfRule type="expression" dxfId="305" priority="140" stopIfTrue="1">
      <formula>ISBLANK(AB19)</formula>
    </cfRule>
  </conditionalFormatting>
  <conditionalFormatting sqref="AC20">
    <cfRule type="expression" dxfId="304" priority="141" stopIfTrue="1">
      <formula>ISBLANK(AB20)</formula>
    </cfRule>
  </conditionalFormatting>
  <conditionalFormatting sqref="AD20">
    <cfRule type="expression" dxfId="303" priority="142" stopIfTrue="1">
      <formula>ISBLANK(AB20)</formula>
    </cfRule>
  </conditionalFormatting>
  <conditionalFormatting sqref="AE20">
    <cfRule type="expression" dxfId="302" priority="143" stopIfTrue="1">
      <formula>ISBLANK(AB20)</formula>
    </cfRule>
  </conditionalFormatting>
  <conditionalFormatting sqref="AJ4">
    <cfRule type="cellIs" dxfId="301" priority="144" stopIfTrue="1" operator="greaterThan">
      <formula>7.5</formula>
    </cfRule>
  </conditionalFormatting>
  <conditionalFormatting sqref="AT6:AT20">
    <cfRule type="cellIs" dxfId="300" priority="145" stopIfTrue="1" operator="equal">
      <formula>" "</formula>
    </cfRule>
  </conditionalFormatting>
  <conditionalFormatting sqref="AU6:AU20">
    <cfRule type="cellIs" dxfId="299" priority="146" stopIfTrue="1" operator="equal">
      <formula>" "</formula>
    </cfRule>
  </conditionalFormatting>
  <conditionalFormatting sqref="AP6">
    <cfRule type="expression" dxfId="298" priority="147" stopIfTrue="1">
      <formula>ISBLANK(AO6)</formula>
    </cfRule>
  </conditionalFormatting>
  <conditionalFormatting sqref="AQ6">
    <cfRule type="expression" dxfId="297" priority="148" stopIfTrue="1">
      <formula>ISBLANK(AO6)</formula>
    </cfRule>
  </conditionalFormatting>
  <conditionalFormatting sqref="AR6">
    <cfRule type="expression" dxfId="296" priority="149" stopIfTrue="1">
      <formula>ISBLANK(AO6)</formula>
    </cfRule>
  </conditionalFormatting>
  <conditionalFormatting sqref="AP7">
    <cfRule type="expression" dxfId="295" priority="150" stopIfTrue="1">
      <formula>ISBLANK(AO7)</formula>
    </cfRule>
  </conditionalFormatting>
  <conditionalFormatting sqref="AQ7">
    <cfRule type="expression" dxfId="294" priority="151" stopIfTrue="1">
      <formula>ISBLANK(AO7)</formula>
    </cfRule>
  </conditionalFormatting>
  <conditionalFormatting sqref="AR7">
    <cfRule type="expression" dxfId="293" priority="152" stopIfTrue="1">
      <formula>ISBLANK(AO7)</formula>
    </cfRule>
  </conditionalFormatting>
  <conditionalFormatting sqref="AP8">
    <cfRule type="expression" dxfId="292" priority="153" stopIfTrue="1">
      <formula>ISBLANK(AO8)</formula>
    </cfRule>
  </conditionalFormatting>
  <conditionalFormatting sqref="AQ8">
    <cfRule type="expression" dxfId="291" priority="154" stopIfTrue="1">
      <formula>ISBLANK(AO8)</formula>
    </cfRule>
  </conditionalFormatting>
  <conditionalFormatting sqref="AR8">
    <cfRule type="expression" dxfId="290" priority="155" stopIfTrue="1">
      <formula>ISBLANK(AO8)</formula>
    </cfRule>
  </conditionalFormatting>
  <conditionalFormatting sqref="AP9">
    <cfRule type="expression" dxfId="289" priority="156" stopIfTrue="1">
      <formula>ISBLANK(AO9)</formula>
    </cfRule>
  </conditionalFormatting>
  <conditionalFormatting sqref="AQ9">
    <cfRule type="expression" dxfId="288" priority="157" stopIfTrue="1">
      <formula>ISBLANK(AO9)</formula>
    </cfRule>
  </conditionalFormatting>
  <conditionalFormatting sqref="AR9">
    <cfRule type="expression" dxfId="287" priority="158" stopIfTrue="1">
      <formula>ISBLANK(AO9)</formula>
    </cfRule>
  </conditionalFormatting>
  <conditionalFormatting sqref="AP10">
    <cfRule type="expression" dxfId="286" priority="159" stopIfTrue="1">
      <formula>ISBLANK(AO10)</formula>
    </cfRule>
  </conditionalFormatting>
  <conditionalFormatting sqref="AQ10">
    <cfRule type="expression" dxfId="285" priority="160" stopIfTrue="1">
      <formula>ISBLANK(AO10)</formula>
    </cfRule>
  </conditionalFormatting>
  <conditionalFormatting sqref="AR10">
    <cfRule type="expression" dxfId="284" priority="161" stopIfTrue="1">
      <formula>ISBLANK(AO10)</formula>
    </cfRule>
  </conditionalFormatting>
  <conditionalFormatting sqref="AP11">
    <cfRule type="expression" dxfId="283" priority="162" stopIfTrue="1">
      <formula>ISBLANK(AO11)</formula>
    </cfRule>
  </conditionalFormatting>
  <conditionalFormatting sqref="AQ11">
    <cfRule type="expression" dxfId="282" priority="163" stopIfTrue="1">
      <formula>ISBLANK(AO11)</formula>
    </cfRule>
  </conditionalFormatting>
  <conditionalFormatting sqref="AR11">
    <cfRule type="expression" dxfId="281" priority="164" stopIfTrue="1">
      <formula>ISBLANK(AO11)</formula>
    </cfRule>
  </conditionalFormatting>
  <conditionalFormatting sqref="AP12">
    <cfRule type="expression" dxfId="280" priority="165" stopIfTrue="1">
      <formula>ISBLANK(AO12)</formula>
    </cfRule>
  </conditionalFormatting>
  <conditionalFormatting sqref="AQ12">
    <cfRule type="expression" dxfId="279" priority="166" stopIfTrue="1">
      <formula>ISBLANK(AO12)</formula>
    </cfRule>
  </conditionalFormatting>
  <conditionalFormatting sqref="AR12">
    <cfRule type="expression" dxfId="278" priority="167" stopIfTrue="1">
      <formula>ISBLANK(AO12)</formula>
    </cfRule>
  </conditionalFormatting>
  <conditionalFormatting sqref="AP13">
    <cfRule type="expression" dxfId="277" priority="168" stopIfTrue="1">
      <formula>ISBLANK(AO13)</formula>
    </cfRule>
  </conditionalFormatting>
  <conditionalFormatting sqref="AQ13">
    <cfRule type="expression" dxfId="276" priority="169" stopIfTrue="1">
      <formula>ISBLANK(AO13)</formula>
    </cfRule>
  </conditionalFormatting>
  <conditionalFormatting sqref="AR13">
    <cfRule type="expression" dxfId="275" priority="170" stopIfTrue="1">
      <formula>ISBLANK(AO13)</formula>
    </cfRule>
  </conditionalFormatting>
  <conditionalFormatting sqref="AP14">
    <cfRule type="expression" dxfId="274" priority="171" stopIfTrue="1">
      <formula>ISBLANK(AO14)</formula>
    </cfRule>
  </conditionalFormatting>
  <conditionalFormatting sqref="AQ14">
    <cfRule type="expression" dxfId="273" priority="172" stopIfTrue="1">
      <formula>ISBLANK(AO14)</formula>
    </cfRule>
  </conditionalFormatting>
  <conditionalFormatting sqref="AR14">
    <cfRule type="expression" dxfId="272" priority="173" stopIfTrue="1">
      <formula>ISBLANK(AO14)</formula>
    </cfRule>
  </conditionalFormatting>
  <conditionalFormatting sqref="AP15">
    <cfRule type="expression" dxfId="271" priority="174" stopIfTrue="1">
      <formula>ISBLANK(AO15)</formula>
    </cfRule>
  </conditionalFormatting>
  <conditionalFormatting sqref="AQ15">
    <cfRule type="expression" dxfId="270" priority="175" stopIfTrue="1">
      <formula>ISBLANK(AO15)</formula>
    </cfRule>
  </conditionalFormatting>
  <conditionalFormatting sqref="AR15">
    <cfRule type="expression" dxfId="269" priority="176" stopIfTrue="1">
      <formula>ISBLANK(AO15)</formula>
    </cfRule>
  </conditionalFormatting>
  <conditionalFormatting sqref="AP16">
    <cfRule type="expression" dxfId="268" priority="177" stopIfTrue="1">
      <formula>ISBLANK(AO16)</formula>
    </cfRule>
  </conditionalFormatting>
  <conditionalFormatting sqref="AQ16">
    <cfRule type="expression" dxfId="267" priority="178" stopIfTrue="1">
      <formula>ISBLANK(AO16)</formula>
    </cfRule>
  </conditionalFormatting>
  <conditionalFormatting sqref="AR16">
    <cfRule type="expression" dxfId="266" priority="179" stopIfTrue="1">
      <formula>ISBLANK(AO16)</formula>
    </cfRule>
  </conditionalFormatting>
  <conditionalFormatting sqref="AP17">
    <cfRule type="expression" dxfId="265" priority="180" stopIfTrue="1">
      <formula>ISBLANK(AO17)</formula>
    </cfRule>
  </conditionalFormatting>
  <conditionalFormatting sqref="AQ17">
    <cfRule type="expression" dxfId="264" priority="181" stopIfTrue="1">
      <formula>ISBLANK(AO17)</formula>
    </cfRule>
  </conditionalFormatting>
  <conditionalFormatting sqref="AR17">
    <cfRule type="expression" dxfId="263" priority="182" stopIfTrue="1">
      <formula>ISBLANK(AO17)</formula>
    </cfRule>
  </conditionalFormatting>
  <conditionalFormatting sqref="AP18">
    <cfRule type="expression" dxfId="262" priority="183" stopIfTrue="1">
      <formula>ISBLANK(AO18)</formula>
    </cfRule>
  </conditionalFormatting>
  <conditionalFormatting sqref="AQ18">
    <cfRule type="expression" dxfId="261" priority="184" stopIfTrue="1">
      <formula>ISBLANK(AO18)</formula>
    </cfRule>
  </conditionalFormatting>
  <conditionalFormatting sqref="AR18">
    <cfRule type="expression" dxfId="260" priority="185" stopIfTrue="1">
      <formula>ISBLANK(AO18)</formula>
    </cfRule>
  </conditionalFormatting>
  <conditionalFormatting sqref="AP19">
    <cfRule type="expression" dxfId="259" priority="186" stopIfTrue="1">
      <formula>ISBLANK(AO19)</formula>
    </cfRule>
  </conditionalFormatting>
  <conditionalFormatting sqref="AQ19">
    <cfRule type="expression" dxfId="258" priority="187" stopIfTrue="1">
      <formula>ISBLANK(AO19)</formula>
    </cfRule>
  </conditionalFormatting>
  <conditionalFormatting sqref="AR19">
    <cfRule type="expression" dxfId="257" priority="188" stopIfTrue="1">
      <formula>ISBLANK(AO19)</formula>
    </cfRule>
  </conditionalFormatting>
  <conditionalFormatting sqref="AP20">
    <cfRule type="expression" dxfId="256" priority="189" stopIfTrue="1">
      <formula>ISBLANK(AO20)</formula>
    </cfRule>
  </conditionalFormatting>
  <conditionalFormatting sqref="AQ20">
    <cfRule type="expression" dxfId="255" priority="190" stopIfTrue="1">
      <formula>ISBLANK(AO20)</formula>
    </cfRule>
  </conditionalFormatting>
  <conditionalFormatting sqref="AR20">
    <cfRule type="expression" dxfId="254" priority="191" stopIfTrue="1">
      <formula>ISBLANK(AO20)</formula>
    </cfRule>
  </conditionalFormatting>
  <conditionalFormatting sqref="AW4">
    <cfRule type="cellIs" dxfId="253" priority="192" stopIfTrue="1" operator="greaterThan">
      <formula>7.5</formula>
    </cfRule>
  </conditionalFormatting>
  <conditionalFormatting sqref="BG6:BG20">
    <cfRule type="cellIs" dxfId="252" priority="193" stopIfTrue="1" operator="equal">
      <formula>" "</formula>
    </cfRule>
  </conditionalFormatting>
  <conditionalFormatting sqref="BH6:BH20">
    <cfRule type="cellIs" dxfId="251" priority="194" stopIfTrue="1" operator="equal">
      <formula>" "</formula>
    </cfRule>
  </conditionalFormatting>
  <conditionalFormatting sqref="BC6">
    <cfRule type="expression" dxfId="250" priority="195" stopIfTrue="1">
      <formula>ISBLANK(BB6)</formula>
    </cfRule>
  </conditionalFormatting>
  <conditionalFormatting sqref="BD6">
    <cfRule type="expression" dxfId="249" priority="196" stopIfTrue="1">
      <formula>ISBLANK(BB6)</formula>
    </cfRule>
  </conditionalFormatting>
  <conditionalFormatting sqref="BE6">
    <cfRule type="expression" dxfId="248" priority="197" stopIfTrue="1">
      <formula>ISBLANK(BB6)</formula>
    </cfRule>
  </conditionalFormatting>
  <conditionalFormatting sqref="BC7">
    <cfRule type="expression" dxfId="247" priority="198" stopIfTrue="1">
      <formula>ISBLANK(BB7)</formula>
    </cfRule>
  </conditionalFormatting>
  <conditionalFormatting sqref="BD7">
    <cfRule type="expression" dxfId="246" priority="199" stopIfTrue="1">
      <formula>ISBLANK(BB7)</formula>
    </cfRule>
  </conditionalFormatting>
  <conditionalFormatting sqref="BE7">
    <cfRule type="expression" dxfId="245" priority="200" stopIfTrue="1">
      <formula>ISBLANK(BB7)</formula>
    </cfRule>
  </conditionalFormatting>
  <conditionalFormatting sqref="BC8">
    <cfRule type="expression" dxfId="244" priority="201" stopIfTrue="1">
      <formula>ISBLANK(BB8)</formula>
    </cfRule>
  </conditionalFormatting>
  <conditionalFormatting sqref="BD8">
    <cfRule type="expression" dxfId="243" priority="202" stopIfTrue="1">
      <formula>ISBLANK(BB8)</formula>
    </cfRule>
  </conditionalFormatting>
  <conditionalFormatting sqref="BE8">
    <cfRule type="expression" dxfId="242" priority="203" stopIfTrue="1">
      <formula>ISBLANK(BB8)</formula>
    </cfRule>
  </conditionalFormatting>
  <conditionalFormatting sqref="BC9">
    <cfRule type="expression" dxfId="241" priority="204" stopIfTrue="1">
      <formula>ISBLANK(BB9)</formula>
    </cfRule>
  </conditionalFormatting>
  <conditionalFormatting sqref="BD9">
    <cfRule type="expression" dxfId="240" priority="205" stopIfTrue="1">
      <formula>ISBLANK(BB9)</formula>
    </cfRule>
  </conditionalFormatting>
  <conditionalFormatting sqref="BE9">
    <cfRule type="expression" dxfId="239" priority="206" stopIfTrue="1">
      <formula>ISBLANK(BB9)</formula>
    </cfRule>
  </conditionalFormatting>
  <conditionalFormatting sqref="BC10">
    <cfRule type="expression" dxfId="238" priority="207" stopIfTrue="1">
      <formula>ISBLANK(BB10)</formula>
    </cfRule>
  </conditionalFormatting>
  <conditionalFormatting sqref="BD10">
    <cfRule type="expression" dxfId="237" priority="208" stopIfTrue="1">
      <formula>ISBLANK(BB10)</formula>
    </cfRule>
  </conditionalFormatting>
  <conditionalFormatting sqref="BE10">
    <cfRule type="expression" dxfId="236" priority="209" stopIfTrue="1">
      <formula>ISBLANK(BB10)</formula>
    </cfRule>
  </conditionalFormatting>
  <conditionalFormatting sqref="BC11">
    <cfRule type="expression" dxfId="235" priority="210" stopIfTrue="1">
      <formula>ISBLANK(BB11)</formula>
    </cfRule>
  </conditionalFormatting>
  <conditionalFormatting sqref="BD11">
    <cfRule type="expression" dxfId="234" priority="211" stopIfTrue="1">
      <formula>ISBLANK(BB11)</formula>
    </cfRule>
  </conditionalFormatting>
  <conditionalFormatting sqref="BE11">
    <cfRule type="expression" dxfId="233" priority="212" stopIfTrue="1">
      <formula>ISBLANK(BB11)</formula>
    </cfRule>
  </conditionalFormatting>
  <conditionalFormatting sqref="BC12">
    <cfRule type="expression" dxfId="232" priority="213" stopIfTrue="1">
      <formula>ISBLANK(BB12)</formula>
    </cfRule>
  </conditionalFormatting>
  <conditionalFormatting sqref="BD12">
    <cfRule type="expression" dxfId="231" priority="214" stopIfTrue="1">
      <formula>ISBLANK(BB12)</formula>
    </cfRule>
  </conditionalFormatting>
  <conditionalFormatting sqref="BE12">
    <cfRule type="expression" dxfId="230" priority="215" stopIfTrue="1">
      <formula>ISBLANK(BB12)</formula>
    </cfRule>
  </conditionalFormatting>
  <conditionalFormatting sqref="BC13">
    <cfRule type="expression" dxfId="229" priority="216" stopIfTrue="1">
      <formula>ISBLANK(BB13)</formula>
    </cfRule>
  </conditionalFormatting>
  <conditionalFormatting sqref="BD13">
    <cfRule type="expression" dxfId="228" priority="217" stopIfTrue="1">
      <formula>ISBLANK(BB13)</formula>
    </cfRule>
  </conditionalFormatting>
  <conditionalFormatting sqref="BE13">
    <cfRule type="expression" dxfId="227" priority="218" stopIfTrue="1">
      <formula>ISBLANK(BB13)</formula>
    </cfRule>
  </conditionalFormatting>
  <conditionalFormatting sqref="BC14">
    <cfRule type="expression" dxfId="226" priority="219" stopIfTrue="1">
      <formula>ISBLANK(BB14)</formula>
    </cfRule>
  </conditionalFormatting>
  <conditionalFormatting sqref="BD14">
    <cfRule type="expression" dxfId="225" priority="220" stopIfTrue="1">
      <formula>ISBLANK(BB14)</formula>
    </cfRule>
  </conditionalFormatting>
  <conditionalFormatting sqref="BE14">
    <cfRule type="expression" dxfId="224" priority="221" stopIfTrue="1">
      <formula>ISBLANK(BB14)</formula>
    </cfRule>
  </conditionalFormatting>
  <conditionalFormatting sqref="BC15">
    <cfRule type="expression" dxfId="223" priority="222" stopIfTrue="1">
      <formula>ISBLANK(BB15)</formula>
    </cfRule>
  </conditionalFormatting>
  <conditionalFormatting sqref="BD15">
    <cfRule type="expression" dxfId="222" priority="223" stopIfTrue="1">
      <formula>ISBLANK(BB15)</formula>
    </cfRule>
  </conditionalFormatting>
  <conditionalFormatting sqref="BE15">
    <cfRule type="expression" dxfId="221" priority="224" stopIfTrue="1">
      <formula>ISBLANK(BB15)</formula>
    </cfRule>
  </conditionalFormatting>
  <conditionalFormatting sqref="BC16">
    <cfRule type="expression" dxfId="220" priority="225" stopIfTrue="1">
      <formula>ISBLANK(BB16)</formula>
    </cfRule>
  </conditionalFormatting>
  <conditionalFormatting sqref="BD16">
    <cfRule type="expression" dxfId="219" priority="226" stopIfTrue="1">
      <formula>ISBLANK(BB16)</formula>
    </cfRule>
  </conditionalFormatting>
  <conditionalFormatting sqref="BE16">
    <cfRule type="expression" dxfId="218" priority="227" stopIfTrue="1">
      <formula>ISBLANK(BB16)</formula>
    </cfRule>
  </conditionalFormatting>
  <conditionalFormatting sqref="BC17">
    <cfRule type="expression" dxfId="217" priority="228" stopIfTrue="1">
      <formula>ISBLANK(BB17)</formula>
    </cfRule>
  </conditionalFormatting>
  <conditionalFormatting sqref="BD17">
    <cfRule type="expression" dxfId="216" priority="229" stopIfTrue="1">
      <formula>ISBLANK(BB17)</formula>
    </cfRule>
  </conditionalFormatting>
  <conditionalFormatting sqref="BE17">
    <cfRule type="expression" dxfId="215" priority="230" stopIfTrue="1">
      <formula>ISBLANK(BB17)</formula>
    </cfRule>
  </conditionalFormatting>
  <conditionalFormatting sqref="BC18">
    <cfRule type="expression" dxfId="214" priority="231" stopIfTrue="1">
      <formula>ISBLANK(BB18)</formula>
    </cfRule>
  </conditionalFormatting>
  <conditionalFormatting sqref="BD18">
    <cfRule type="expression" dxfId="213" priority="232" stopIfTrue="1">
      <formula>ISBLANK(BB18)</formula>
    </cfRule>
  </conditionalFormatting>
  <conditionalFormatting sqref="BE18">
    <cfRule type="expression" dxfId="212" priority="233" stopIfTrue="1">
      <formula>ISBLANK(BB18)</formula>
    </cfRule>
  </conditionalFormatting>
  <conditionalFormatting sqref="BC19">
    <cfRule type="expression" dxfId="211" priority="234" stopIfTrue="1">
      <formula>ISBLANK(BB19)</formula>
    </cfRule>
  </conditionalFormatting>
  <conditionalFormatting sqref="BD19">
    <cfRule type="expression" dxfId="210" priority="235" stopIfTrue="1">
      <formula>ISBLANK(BB19)</formula>
    </cfRule>
  </conditionalFormatting>
  <conditionalFormatting sqref="BE19">
    <cfRule type="expression" dxfId="209" priority="236" stopIfTrue="1">
      <formula>ISBLANK(BB19)</formula>
    </cfRule>
  </conditionalFormatting>
  <conditionalFormatting sqref="BC20">
    <cfRule type="expression" dxfId="208" priority="237" stopIfTrue="1">
      <formula>ISBLANK(BB20)</formula>
    </cfRule>
  </conditionalFormatting>
  <conditionalFormatting sqref="BD20">
    <cfRule type="expression" dxfId="207" priority="238" stopIfTrue="1">
      <formula>ISBLANK(BB20)</formula>
    </cfRule>
  </conditionalFormatting>
  <conditionalFormatting sqref="BE20">
    <cfRule type="expression" dxfId="206" priority="239" stopIfTrue="1">
      <formula>ISBLANK(BB20)</formula>
    </cfRule>
  </conditionalFormatting>
  <conditionalFormatting sqref="BJ4">
    <cfRule type="cellIs" dxfId="205" priority="240" stopIfTrue="1" operator="greaterThan">
      <formula>7.5</formula>
    </cfRule>
  </conditionalFormatting>
  <conditionalFormatting sqref="BT6:BT20">
    <cfRule type="cellIs" dxfId="204" priority="241" stopIfTrue="1" operator="equal">
      <formula>" "</formula>
    </cfRule>
  </conditionalFormatting>
  <conditionalFormatting sqref="BU6:BU20">
    <cfRule type="cellIs" dxfId="203" priority="242" stopIfTrue="1" operator="equal">
      <formula>" "</formula>
    </cfRule>
  </conditionalFormatting>
  <conditionalFormatting sqref="BP6">
    <cfRule type="expression" dxfId="202" priority="243" stopIfTrue="1">
      <formula>ISBLANK(BO6)</formula>
    </cfRule>
  </conditionalFormatting>
  <conditionalFormatting sqref="BQ6">
    <cfRule type="expression" dxfId="201" priority="244" stopIfTrue="1">
      <formula>ISBLANK(BO6)</formula>
    </cfRule>
  </conditionalFormatting>
  <conditionalFormatting sqref="BR6">
    <cfRule type="expression" dxfId="200" priority="245" stopIfTrue="1">
      <formula>ISBLANK(BO6)</formula>
    </cfRule>
  </conditionalFormatting>
  <conditionalFormatting sqref="BP7">
    <cfRule type="expression" dxfId="199" priority="246" stopIfTrue="1">
      <formula>ISBLANK(BO7)</formula>
    </cfRule>
  </conditionalFormatting>
  <conditionalFormatting sqref="BQ7">
    <cfRule type="expression" dxfId="198" priority="247" stopIfTrue="1">
      <formula>ISBLANK(BO7)</formula>
    </cfRule>
  </conditionalFormatting>
  <conditionalFormatting sqref="BR7">
    <cfRule type="expression" dxfId="197" priority="248" stopIfTrue="1">
      <formula>ISBLANK(BO7)</formula>
    </cfRule>
  </conditionalFormatting>
  <conditionalFormatting sqref="BP8">
    <cfRule type="expression" dxfId="196" priority="249" stopIfTrue="1">
      <formula>ISBLANK(BO8)</formula>
    </cfRule>
  </conditionalFormatting>
  <conditionalFormatting sqref="BQ8">
    <cfRule type="expression" dxfId="195" priority="250" stopIfTrue="1">
      <formula>ISBLANK(BO8)</formula>
    </cfRule>
  </conditionalFormatting>
  <conditionalFormatting sqref="BR8">
    <cfRule type="expression" dxfId="194" priority="251" stopIfTrue="1">
      <formula>ISBLANK(BO8)</formula>
    </cfRule>
  </conditionalFormatting>
  <conditionalFormatting sqref="BP9">
    <cfRule type="expression" dxfId="193" priority="252" stopIfTrue="1">
      <formula>ISBLANK(BO9)</formula>
    </cfRule>
  </conditionalFormatting>
  <conditionalFormatting sqref="BQ9">
    <cfRule type="expression" dxfId="192" priority="253" stopIfTrue="1">
      <formula>ISBLANK(BO9)</formula>
    </cfRule>
  </conditionalFormatting>
  <conditionalFormatting sqref="BR9">
    <cfRule type="expression" dxfId="191" priority="254" stopIfTrue="1">
      <formula>ISBLANK(BO9)</formula>
    </cfRule>
  </conditionalFormatting>
  <conditionalFormatting sqref="BP10">
    <cfRule type="expression" dxfId="190" priority="255" stopIfTrue="1">
      <formula>ISBLANK(BO10)</formula>
    </cfRule>
  </conditionalFormatting>
  <conditionalFormatting sqref="BQ10">
    <cfRule type="expression" dxfId="189" priority="256" stopIfTrue="1">
      <formula>ISBLANK(BO10)</formula>
    </cfRule>
  </conditionalFormatting>
  <conditionalFormatting sqref="BR10">
    <cfRule type="expression" dxfId="188" priority="257" stopIfTrue="1">
      <formula>ISBLANK(BO10)</formula>
    </cfRule>
  </conditionalFormatting>
  <conditionalFormatting sqref="BP11">
    <cfRule type="expression" dxfId="187" priority="258" stopIfTrue="1">
      <formula>ISBLANK(BO11)</formula>
    </cfRule>
  </conditionalFormatting>
  <conditionalFormatting sqref="BQ11">
    <cfRule type="expression" dxfId="186" priority="259" stopIfTrue="1">
      <formula>ISBLANK(BO11)</formula>
    </cfRule>
  </conditionalFormatting>
  <conditionalFormatting sqref="BR11">
    <cfRule type="expression" dxfId="185" priority="260" stopIfTrue="1">
      <formula>ISBLANK(BO11)</formula>
    </cfRule>
  </conditionalFormatting>
  <conditionalFormatting sqref="BP12">
    <cfRule type="expression" dxfId="184" priority="261" stopIfTrue="1">
      <formula>ISBLANK(BO12)</formula>
    </cfRule>
  </conditionalFormatting>
  <conditionalFormatting sqref="BQ12">
    <cfRule type="expression" dxfId="183" priority="262" stopIfTrue="1">
      <formula>ISBLANK(BO12)</formula>
    </cfRule>
  </conditionalFormatting>
  <conditionalFormatting sqref="BR12">
    <cfRule type="expression" dxfId="182" priority="263" stopIfTrue="1">
      <formula>ISBLANK(BO12)</formula>
    </cfRule>
  </conditionalFormatting>
  <conditionalFormatting sqref="BP13">
    <cfRule type="expression" dxfId="181" priority="264" stopIfTrue="1">
      <formula>ISBLANK(BO13)</formula>
    </cfRule>
  </conditionalFormatting>
  <conditionalFormatting sqref="BQ13">
    <cfRule type="expression" dxfId="180" priority="265" stopIfTrue="1">
      <formula>ISBLANK(BO13)</formula>
    </cfRule>
  </conditionalFormatting>
  <conditionalFormatting sqref="BR13">
    <cfRule type="expression" dxfId="179" priority="266" stopIfTrue="1">
      <formula>ISBLANK(BO13)</formula>
    </cfRule>
  </conditionalFormatting>
  <conditionalFormatting sqref="BP14">
    <cfRule type="expression" dxfId="178" priority="267" stopIfTrue="1">
      <formula>ISBLANK(BO14)</formula>
    </cfRule>
  </conditionalFormatting>
  <conditionalFormatting sqref="BQ14">
    <cfRule type="expression" dxfId="177" priority="268" stopIfTrue="1">
      <formula>ISBLANK(BO14)</formula>
    </cfRule>
  </conditionalFormatting>
  <conditionalFormatting sqref="BR14">
    <cfRule type="expression" dxfId="176" priority="269" stopIfTrue="1">
      <formula>ISBLANK(BO14)</formula>
    </cfRule>
  </conditionalFormatting>
  <conditionalFormatting sqref="BP15">
    <cfRule type="expression" dxfId="175" priority="270" stopIfTrue="1">
      <formula>ISBLANK(BO15)</formula>
    </cfRule>
  </conditionalFormatting>
  <conditionalFormatting sqref="BQ15">
    <cfRule type="expression" dxfId="174" priority="271" stopIfTrue="1">
      <formula>ISBLANK(BO15)</formula>
    </cfRule>
  </conditionalFormatting>
  <conditionalFormatting sqref="BR15">
    <cfRule type="expression" dxfId="173" priority="272" stopIfTrue="1">
      <formula>ISBLANK(BO15)</formula>
    </cfRule>
  </conditionalFormatting>
  <conditionalFormatting sqref="BP16">
    <cfRule type="expression" dxfId="172" priority="273" stopIfTrue="1">
      <formula>ISBLANK(BO16)</formula>
    </cfRule>
  </conditionalFormatting>
  <conditionalFormatting sqref="BQ16">
    <cfRule type="expression" dxfId="171" priority="274" stopIfTrue="1">
      <formula>ISBLANK(BO16)</formula>
    </cfRule>
  </conditionalFormatting>
  <conditionalFormatting sqref="BR16">
    <cfRule type="expression" dxfId="170" priority="275" stopIfTrue="1">
      <formula>ISBLANK(BO16)</formula>
    </cfRule>
  </conditionalFormatting>
  <conditionalFormatting sqref="BP17">
    <cfRule type="expression" dxfId="169" priority="276" stopIfTrue="1">
      <formula>ISBLANK(BO17)</formula>
    </cfRule>
  </conditionalFormatting>
  <conditionalFormatting sqref="BQ17">
    <cfRule type="expression" dxfId="168" priority="277" stopIfTrue="1">
      <formula>ISBLANK(BO17)</formula>
    </cfRule>
  </conditionalFormatting>
  <conditionalFormatting sqref="BR17">
    <cfRule type="expression" dxfId="167" priority="278" stopIfTrue="1">
      <formula>ISBLANK(BO17)</formula>
    </cfRule>
  </conditionalFormatting>
  <conditionalFormatting sqref="BP18">
    <cfRule type="expression" dxfId="166" priority="279" stopIfTrue="1">
      <formula>ISBLANK(BO18)</formula>
    </cfRule>
  </conditionalFormatting>
  <conditionalFormatting sqref="BQ18">
    <cfRule type="expression" dxfId="165" priority="280" stopIfTrue="1">
      <formula>ISBLANK(BO18)</formula>
    </cfRule>
  </conditionalFormatting>
  <conditionalFormatting sqref="BR18">
    <cfRule type="expression" dxfId="164" priority="281" stopIfTrue="1">
      <formula>ISBLANK(BO18)</formula>
    </cfRule>
  </conditionalFormatting>
  <conditionalFormatting sqref="BP19">
    <cfRule type="expression" dxfId="163" priority="282" stopIfTrue="1">
      <formula>ISBLANK(BO19)</formula>
    </cfRule>
  </conditionalFormatting>
  <conditionalFormatting sqref="BQ19">
    <cfRule type="expression" dxfId="162" priority="283" stopIfTrue="1">
      <formula>ISBLANK(BO19)</formula>
    </cfRule>
  </conditionalFormatting>
  <conditionalFormatting sqref="BR19">
    <cfRule type="expression" dxfId="161" priority="284" stopIfTrue="1">
      <formula>ISBLANK(BO19)</formula>
    </cfRule>
  </conditionalFormatting>
  <conditionalFormatting sqref="BP20">
    <cfRule type="expression" dxfId="160" priority="285" stopIfTrue="1">
      <formula>ISBLANK(BO20)</formula>
    </cfRule>
  </conditionalFormatting>
  <conditionalFormatting sqref="BQ20">
    <cfRule type="expression" dxfId="159" priority="286" stopIfTrue="1">
      <formula>ISBLANK(BO20)</formula>
    </cfRule>
  </conditionalFormatting>
  <conditionalFormatting sqref="BR20">
    <cfRule type="expression" dxfId="158" priority="287" stopIfTrue="1">
      <formula>ISBLANK(BO20)</formula>
    </cfRule>
  </conditionalFormatting>
  <conditionalFormatting sqref="BW4">
    <cfRule type="cellIs" dxfId="157" priority="288" stopIfTrue="1" operator="greaterThan">
      <formula>7.5</formula>
    </cfRule>
  </conditionalFormatting>
  <conditionalFormatting sqref="CG6:CG20">
    <cfRule type="cellIs" dxfId="156" priority="289" stopIfTrue="1" operator="equal">
      <formula>" "</formula>
    </cfRule>
  </conditionalFormatting>
  <conditionalFormatting sqref="CH6:CH20">
    <cfRule type="cellIs" dxfId="155" priority="290" stopIfTrue="1" operator="equal">
      <formula>" "</formula>
    </cfRule>
  </conditionalFormatting>
  <conditionalFormatting sqref="CC6">
    <cfRule type="expression" dxfId="154" priority="291" stopIfTrue="1">
      <formula>ISBLANK(CB6)</formula>
    </cfRule>
  </conditionalFormatting>
  <conditionalFormatting sqref="CD6">
    <cfRule type="expression" dxfId="153" priority="292" stopIfTrue="1">
      <formula>ISBLANK(CB6)</formula>
    </cfRule>
  </conditionalFormatting>
  <conditionalFormatting sqref="CE6">
    <cfRule type="expression" dxfId="152" priority="293" stopIfTrue="1">
      <formula>ISBLANK(CB6)</formula>
    </cfRule>
  </conditionalFormatting>
  <conditionalFormatting sqref="CC7">
    <cfRule type="expression" dxfId="151" priority="294" stopIfTrue="1">
      <formula>ISBLANK(CB7)</formula>
    </cfRule>
  </conditionalFormatting>
  <conditionalFormatting sqref="CD7">
    <cfRule type="expression" dxfId="150" priority="295" stopIfTrue="1">
      <formula>ISBLANK(CB7)</formula>
    </cfRule>
  </conditionalFormatting>
  <conditionalFormatting sqref="CE7">
    <cfRule type="expression" dxfId="149" priority="296" stopIfTrue="1">
      <formula>ISBLANK(CB7)</formula>
    </cfRule>
  </conditionalFormatting>
  <conditionalFormatting sqref="CC8">
    <cfRule type="expression" dxfId="148" priority="297" stopIfTrue="1">
      <formula>ISBLANK(CB8)</formula>
    </cfRule>
  </conditionalFormatting>
  <conditionalFormatting sqref="CD8">
    <cfRule type="expression" dxfId="147" priority="298" stopIfTrue="1">
      <formula>ISBLANK(CB8)</formula>
    </cfRule>
  </conditionalFormatting>
  <conditionalFormatting sqref="CE8">
    <cfRule type="expression" dxfId="146" priority="299" stopIfTrue="1">
      <formula>ISBLANK(CB8)</formula>
    </cfRule>
  </conditionalFormatting>
  <conditionalFormatting sqref="CC9">
    <cfRule type="expression" dxfId="145" priority="300" stopIfTrue="1">
      <formula>ISBLANK(CB9)</formula>
    </cfRule>
  </conditionalFormatting>
  <conditionalFormatting sqref="CD9">
    <cfRule type="expression" dxfId="144" priority="301" stopIfTrue="1">
      <formula>ISBLANK(CB9)</formula>
    </cfRule>
  </conditionalFormatting>
  <conditionalFormatting sqref="CE9">
    <cfRule type="expression" dxfId="143" priority="302" stopIfTrue="1">
      <formula>ISBLANK(CB9)</formula>
    </cfRule>
  </conditionalFormatting>
  <conditionalFormatting sqref="CC10">
    <cfRule type="expression" dxfId="142" priority="303" stopIfTrue="1">
      <formula>ISBLANK(CB10)</formula>
    </cfRule>
  </conditionalFormatting>
  <conditionalFormatting sqref="CD10">
    <cfRule type="expression" dxfId="141" priority="304" stopIfTrue="1">
      <formula>ISBLANK(CB10)</formula>
    </cfRule>
  </conditionalFormatting>
  <conditionalFormatting sqref="CE10">
    <cfRule type="expression" dxfId="140" priority="305" stopIfTrue="1">
      <formula>ISBLANK(CB10)</formula>
    </cfRule>
  </conditionalFormatting>
  <conditionalFormatting sqref="CC11">
    <cfRule type="expression" dxfId="139" priority="306" stopIfTrue="1">
      <formula>ISBLANK(CB11)</formula>
    </cfRule>
  </conditionalFormatting>
  <conditionalFormatting sqref="CD11">
    <cfRule type="expression" dxfId="138" priority="307" stopIfTrue="1">
      <formula>ISBLANK(CB11)</formula>
    </cfRule>
  </conditionalFormatting>
  <conditionalFormatting sqref="CE11">
    <cfRule type="expression" dxfId="137" priority="308" stopIfTrue="1">
      <formula>ISBLANK(CB11)</formula>
    </cfRule>
  </conditionalFormatting>
  <conditionalFormatting sqref="CC12">
    <cfRule type="expression" dxfId="136" priority="309" stopIfTrue="1">
      <formula>ISBLANK(CB12)</formula>
    </cfRule>
  </conditionalFormatting>
  <conditionalFormatting sqref="CD12">
    <cfRule type="expression" dxfId="135" priority="310" stopIfTrue="1">
      <formula>ISBLANK(CB12)</formula>
    </cfRule>
  </conditionalFormatting>
  <conditionalFormatting sqref="CE12">
    <cfRule type="expression" dxfId="134" priority="311" stopIfTrue="1">
      <formula>ISBLANK(CB12)</formula>
    </cfRule>
  </conditionalFormatting>
  <conditionalFormatting sqref="CC13">
    <cfRule type="expression" dxfId="133" priority="312" stopIfTrue="1">
      <formula>ISBLANK(CB13)</formula>
    </cfRule>
  </conditionalFormatting>
  <conditionalFormatting sqref="CD13">
    <cfRule type="expression" dxfId="132" priority="313" stopIfTrue="1">
      <formula>ISBLANK(CB13)</formula>
    </cfRule>
  </conditionalFormatting>
  <conditionalFormatting sqref="CE13">
    <cfRule type="expression" dxfId="131" priority="314" stopIfTrue="1">
      <formula>ISBLANK(CB13)</formula>
    </cfRule>
  </conditionalFormatting>
  <conditionalFormatting sqref="CC14">
    <cfRule type="expression" dxfId="130" priority="315" stopIfTrue="1">
      <formula>ISBLANK(CB14)</formula>
    </cfRule>
  </conditionalFormatting>
  <conditionalFormatting sqref="CD14">
    <cfRule type="expression" dxfId="129" priority="316" stopIfTrue="1">
      <formula>ISBLANK(CB14)</formula>
    </cfRule>
  </conditionalFormatting>
  <conditionalFormatting sqref="CE14">
    <cfRule type="expression" dxfId="128" priority="317" stopIfTrue="1">
      <formula>ISBLANK(CB14)</formula>
    </cfRule>
  </conditionalFormatting>
  <conditionalFormatting sqref="CC15">
    <cfRule type="expression" dxfId="127" priority="318" stopIfTrue="1">
      <formula>ISBLANK(CB15)</formula>
    </cfRule>
  </conditionalFormatting>
  <conditionalFormatting sqref="CD15">
    <cfRule type="expression" dxfId="126" priority="319" stopIfTrue="1">
      <formula>ISBLANK(CB15)</formula>
    </cfRule>
  </conditionalFormatting>
  <conditionalFormatting sqref="CE15">
    <cfRule type="expression" dxfId="125" priority="320" stopIfTrue="1">
      <formula>ISBLANK(CB15)</formula>
    </cfRule>
  </conditionalFormatting>
  <conditionalFormatting sqref="CC16">
    <cfRule type="expression" dxfId="124" priority="321" stopIfTrue="1">
      <formula>ISBLANK(CB16)</formula>
    </cfRule>
  </conditionalFormatting>
  <conditionalFormatting sqref="CD16">
    <cfRule type="expression" dxfId="123" priority="322" stopIfTrue="1">
      <formula>ISBLANK(CB16)</formula>
    </cfRule>
  </conditionalFormatting>
  <conditionalFormatting sqref="CE16">
    <cfRule type="expression" dxfId="122" priority="323" stopIfTrue="1">
      <formula>ISBLANK(CB16)</formula>
    </cfRule>
  </conditionalFormatting>
  <conditionalFormatting sqref="CC17">
    <cfRule type="expression" dxfId="121" priority="324" stopIfTrue="1">
      <formula>ISBLANK(CB17)</formula>
    </cfRule>
  </conditionalFormatting>
  <conditionalFormatting sqref="CD17">
    <cfRule type="expression" dxfId="120" priority="325" stopIfTrue="1">
      <formula>ISBLANK(CB17)</formula>
    </cfRule>
  </conditionalFormatting>
  <conditionalFormatting sqref="CE17">
    <cfRule type="expression" dxfId="119" priority="326" stopIfTrue="1">
      <formula>ISBLANK(CB17)</formula>
    </cfRule>
  </conditionalFormatting>
  <conditionalFormatting sqref="CC18">
    <cfRule type="expression" dxfId="118" priority="327" stopIfTrue="1">
      <formula>ISBLANK(CB18)</formula>
    </cfRule>
  </conditionalFormatting>
  <conditionalFormatting sqref="CD18">
    <cfRule type="expression" dxfId="117" priority="328" stopIfTrue="1">
      <formula>ISBLANK(CB18)</formula>
    </cfRule>
  </conditionalFormatting>
  <conditionalFormatting sqref="CE18">
    <cfRule type="expression" dxfId="116" priority="329" stopIfTrue="1">
      <formula>ISBLANK(CB18)</formula>
    </cfRule>
  </conditionalFormatting>
  <conditionalFormatting sqref="CC19">
    <cfRule type="expression" dxfId="115" priority="330" stopIfTrue="1">
      <formula>ISBLANK(CB19)</formula>
    </cfRule>
  </conditionalFormatting>
  <conditionalFormatting sqref="CD19">
    <cfRule type="expression" dxfId="114" priority="331" stopIfTrue="1">
      <formula>ISBLANK(CB19)</formula>
    </cfRule>
  </conditionalFormatting>
  <conditionalFormatting sqref="CE19">
    <cfRule type="expression" dxfId="113" priority="332" stopIfTrue="1">
      <formula>ISBLANK(CB19)</formula>
    </cfRule>
  </conditionalFormatting>
  <conditionalFormatting sqref="CC20">
    <cfRule type="expression" dxfId="112" priority="333" stopIfTrue="1">
      <formula>ISBLANK(CB20)</formula>
    </cfRule>
  </conditionalFormatting>
  <conditionalFormatting sqref="CD20">
    <cfRule type="expression" dxfId="111" priority="334" stopIfTrue="1">
      <formula>ISBLANK(CB20)</formula>
    </cfRule>
  </conditionalFormatting>
  <conditionalFormatting sqref="CE20">
    <cfRule type="expression" dxfId="110" priority="335" stopIfTrue="1">
      <formula>ISBLANK(CB20)</formula>
    </cfRule>
  </conditionalFormatting>
  <conditionalFormatting sqref="CJ4">
    <cfRule type="cellIs" dxfId="109" priority="336" stopIfTrue="1" operator="greaterThan">
      <formula>7.5</formula>
    </cfRule>
  </conditionalFormatting>
  <conditionalFormatting sqref="CT6:CT11">
    <cfRule type="cellIs" dxfId="108" priority="337" stopIfTrue="1" operator="equal">
      <formula>" "</formula>
    </cfRule>
  </conditionalFormatting>
  <conditionalFormatting sqref="CU6:CU11">
    <cfRule type="cellIs" dxfId="107" priority="338" stopIfTrue="1" operator="equal">
      <formula>" "</formula>
    </cfRule>
  </conditionalFormatting>
  <conditionalFormatting sqref="CP6">
    <cfRule type="expression" dxfId="106" priority="339" stopIfTrue="1">
      <formula>ISBLANK(CO6)</formula>
    </cfRule>
  </conditionalFormatting>
  <conditionalFormatting sqref="CQ6">
    <cfRule type="expression" dxfId="105" priority="340" stopIfTrue="1">
      <formula>ISBLANK(CO6)</formula>
    </cfRule>
  </conditionalFormatting>
  <conditionalFormatting sqref="CR6">
    <cfRule type="expression" dxfId="104" priority="341" stopIfTrue="1">
      <formula>ISBLANK(CO6)</formula>
    </cfRule>
  </conditionalFormatting>
  <conditionalFormatting sqref="CP7">
    <cfRule type="expression" dxfId="103" priority="342" stopIfTrue="1">
      <formula>ISBLANK(CO7)</formula>
    </cfRule>
  </conditionalFormatting>
  <conditionalFormatting sqref="CQ7">
    <cfRule type="expression" dxfId="102" priority="343" stopIfTrue="1">
      <formula>ISBLANK(CO7)</formula>
    </cfRule>
  </conditionalFormatting>
  <conditionalFormatting sqref="CR7">
    <cfRule type="expression" dxfId="101" priority="344" stopIfTrue="1">
      <formula>ISBLANK(CO7)</formula>
    </cfRule>
  </conditionalFormatting>
  <conditionalFormatting sqref="CP8">
    <cfRule type="expression" dxfId="100" priority="345" stopIfTrue="1">
      <formula>ISBLANK(CO8)</formula>
    </cfRule>
  </conditionalFormatting>
  <conditionalFormatting sqref="CQ8">
    <cfRule type="expression" dxfId="99" priority="346" stopIfTrue="1">
      <formula>ISBLANK(CO8)</formula>
    </cfRule>
  </conditionalFormatting>
  <conditionalFormatting sqref="CR8">
    <cfRule type="expression" dxfId="98" priority="347" stopIfTrue="1">
      <formula>ISBLANK(CO8)</formula>
    </cfRule>
  </conditionalFormatting>
  <conditionalFormatting sqref="CP9">
    <cfRule type="expression" dxfId="97" priority="348" stopIfTrue="1">
      <formula>ISBLANK(CO9)</formula>
    </cfRule>
  </conditionalFormatting>
  <conditionalFormatting sqref="CQ9">
    <cfRule type="expression" dxfId="96" priority="349" stopIfTrue="1">
      <formula>ISBLANK(CO9)</formula>
    </cfRule>
  </conditionalFormatting>
  <conditionalFormatting sqref="CR9">
    <cfRule type="expression" dxfId="95" priority="350" stopIfTrue="1">
      <formula>ISBLANK(CO9)</formula>
    </cfRule>
  </conditionalFormatting>
  <conditionalFormatting sqref="CP10">
    <cfRule type="expression" dxfId="94" priority="351" stopIfTrue="1">
      <formula>ISBLANK(CO10)</formula>
    </cfRule>
  </conditionalFormatting>
  <conditionalFormatting sqref="CQ10">
    <cfRule type="expression" dxfId="93" priority="352" stopIfTrue="1">
      <formula>ISBLANK(CO10)</formula>
    </cfRule>
  </conditionalFormatting>
  <conditionalFormatting sqref="CR10">
    <cfRule type="expression" dxfId="92" priority="353" stopIfTrue="1">
      <formula>ISBLANK(CO10)</formula>
    </cfRule>
  </conditionalFormatting>
  <conditionalFormatting sqref="CP11">
    <cfRule type="expression" dxfId="91" priority="354" stopIfTrue="1">
      <formula>ISBLANK(CO11)</formula>
    </cfRule>
  </conditionalFormatting>
  <conditionalFormatting sqref="CQ11">
    <cfRule type="expression" dxfId="90" priority="355" stopIfTrue="1">
      <formula>ISBLANK(CO11)</formula>
    </cfRule>
  </conditionalFormatting>
  <conditionalFormatting sqref="CR11">
    <cfRule type="expression" dxfId="89" priority="356" stopIfTrue="1">
      <formula>ISBLANK(CO11)</formula>
    </cfRule>
  </conditionalFormatting>
  <conditionalFormatting sqref="CW4">
    <cfRule type="cellIs" dxfId="88" priority="357" stopIfTrue="1" operator="greaterThan">
      <formula>3</formula>
    </cfRule>
  </conditionalFormatting>
  <conditionalFormatting sqref="DG6:DG11">
    <cfRule type="cellIs" dxfId="87" priority="358" stopIfTrue="1" operator="equal">
      <formula>" "</formula>
    </cfRule>
  </conditionalFormatting>
  <conditionalFormatting sqref="DH6:DH11">
    <cfRule type="cellIs" dxfId="86" priority="359" stopIfTrue="1" operator="equal">
      <formula>" "</formula>
    </cfRule>
  </conditionalFormatting>
  <conditionalFormatting sqref="DC6">
    <cfRule type="expression" dxfId="85" priority="360" stopIfTrue="1">
      <formula>ISBLANK(DB6)</formula>
    </cfRule>
  </conditionalFormatting>
  <conditionalFormatting sqref="DD6">
    <cfRule type="expression" dxfId="84" priority="361" stopIfTrue="1">
      <formula>ISBLANK(DB6)</formula>
    </cfRule>
  </conditionalFormatting>
  <conditionalFormatting sqref="DE6">
    <cfRule type="expression" dxfId="83" priority="362" stopIfTrue="1">
      <formula>ISBLANK(DB6)</formula>
    </cfRule>
  </conditionalFormatting>
  <conditionalFormatting sqref="DC7">
    <cfRule type="expression" dxfId="82" priority="363" stopIfTrue="1">
      <formula>ISBLANK(DB7)</formula>
    </cfRule>
  </conditionalFormatting>
  <conditionalFormatting sqref="DD7">
    <cfRule type="expression" dxfId="81" priority="364" stopIfTrue="1">
      <formula>ISBLANK(DB7)</formula>
    </cfRule>
  </conditionalFormatting>
  <conditionalFormatting sqref="DE7">
    <cfRule type="expression" dxfId="80" priority="365" stopIfTrue="1">
      <formula>ISBLANK(DB7)</formula>
    </cfRule>
  </conditionalFormatting>
  <conditionalFormatting sqref="DC8">
    <cfRule type="expression" dxfId="79" priority="366" stopIfTrue="1">
      <formula>ISBLANK(DB8)</formula>
    </cfRule>
  </conditionalFormatting>
  <conditionalFormatting sqref="DD8">
    <cfRule type="expression" dxfId="78" priority="367" stopIfTrue="1">
      <formula>ISBLANK(DB8)</formula>
    </cfRule>
  </conditionalFormatting>
  <conditionalFormatting sqref="DE8">
    <cfRule type="expression" dxfId="77" priority="368" stopIfTrue="1">
      <formula>ISBLANK(DB8)</formula>
    </cfRule>
  </conditionalFormatting>
  <conditionalFormatting sqref="DC9">
    <cfRule type="expression" dxfId="76" priority="369" stopIfTrue="1">
      <formula>ISBLANK(DB9)</formula>
    </cfRule>
  </conditionalFormatting>
  <conditionalFormatting sqref="DD9">
    <cfRule type="expression" dxfId="75" priority="370" stopIfTrue="1">
      <formula>ISBLANK(DB9)</formula>
    </cfRule>
  </conditionalFormatting>
  <conditionalFormatting sqref="DE9">
    <cfRule type="expression" dxfId="74" priority="371" stopIfTrue="1">
      <formula>ISBLANK(DB9)</formula>
    </cfRule>
  </conditionalFormatting>
  <conditionalFormatting sqref="DC10">
    <cfRule type="expression" dxfId="73" priority="372" stopIfTrue="1">
      <formula>ISBLANK(DB10)</formula>
    </cfRule>
  </conditionalFormatting>
  <conditionalFormatting sqref="DD10">
    <cfRule type="expression" dxfId="72" priority="373" stopIfTrue="1">
      <formula>ISBLANK(DB10)</formula>
    </cfRule>
  </conditionalFormatting>
  <conditionalFormatting sqref="DE10">
    <cfRule type="expression" dxfId="71" priority="374" stopIfTrue="1">
      <formula>ISBLANK(DB10)</formula>
    </cfRule>
  </conditionalFormatting>
  <conditionalFormatting sqref="DC11">
    <cfRule type="expression" dxfId="70" priority="375" stopIfTrue="1">
      <formula>ISBLANK(DB11)</formula>
    </cfRule>
  </conditionalFormatting>
  <conditionalFormatting sqref="DD11">
    <cfRule type="expression" dxfId="69" priority="376" stopIfTrue="1">
      <formula>ISBLANK(DB11)</formula>
    </cfRule>
  </conditionalFormatting>
  <conditionalFormatting sqref="DE11">
    <cfRule type="expression" dxfId="68" priority="377" stopIfTrue="1">
      <formula>ISBLANK(DB11)</formula>
    </cfRule>
  </conditionalFormatting>
  <conditionalFormatting sqref="DJ4">
    <cfRule type="cellIs" dxfId="67" priority="378" stopIfTrue="1" operator="greaterThan">
      <formula>3</formula>
    </cfRule>
  </conditionalFormatting>
  <conditionalFormatting sqref="DT6:DT9">
    <cfRule type="cellIs" dxfId="66" priority="379" stopIfTrue="1" operator="equal">
      <formula>" "</formula>
    </cfRule>
  </conditionalFormatting>
  <conditionalFormatting sqref="DU6:DU9">
    <cfRule type="cellIs" dxfId="65" priority="380" stopIfTrue="1" operator="equal">
      <formula>" "</formula>
    </cfRule>
  </conditionalFormatting>
  <conditionalFormatting sqref="DP6">
    <cfRule type="expression" dxfId="64" priority="381" stopIfTrue="1">
      <formula>ISBLANK(DO6)</formula>
    </cfRule>
  </conditionalFormatting>
  <conditionalFormatting sqref="DQ6">
    <cfRule type="expression" dxfId="63" priority="382" stopIfTrue="1">
      <formula>ISBLANK(DO6)</formula>
    </cfRule>
  </conditionalFormatting>
  <conditionalFormatting sqref="DR6">
    <cfRule type="expression" dxfId="62" priority="383" stopIfTrue="1">
      <formula>ISBLANK(DO6)</formula>
    </cfRule>
  </conditionalFormatting>
  <conditionalFormatting sqref="DP7">
    <cfRule type="expression" dxfId="61" priority="384" stopIfTrue="1">
      <formula>ISBLANK(DO7)</formula>
    </cfRule>
  </conditionalFormatting>
  <conditionalFormatting sqref="DQ7">
    <cfRule type="expression" dxfId="60" priority="385" stopIfTrue="1">
      <formula>ISBLANK(DO7)</formula>
    </cfRule>
  </conditionalFormatting>
  <conditionalFormatting sqref="DR7">
    <cfRule type="expression" dxfId="59" priority="386" stopIfTrue="1">
      <formula>ISBLANK(DO7)</formula>
    </cfRule>
  </conditionalFormatting>
  <conditionalFormatting sqref="DP8">
    <cfRule type="expression" dxfId="58" priority="387" stopIfTrue="1">
      <formula>ISBLANK(DO8)</formula>
    </cfRule>
  </conditionalFormatting>
  <conditionalFormatting sqref="DQ8">
    <cfRule type="expression" dxfId="57" priority="388" stopIfTrue="1">
      <formula>ISBLANK(DO8)</formula>
    </cfRule>
  </conditionalFormatting>
  <conditionalFormatting sqref="DR8">
    <cfRule type="expression" dxfId="56" priority="389" stopIfTrue="1">
      <formula>ISBLANK(DO8)</formula>
    </cfRule>
  </conditionalFormatting>
  <conditionalFormatting sqref="DP9">
    <cfRule type="expression" dxfId="55" priority="390" stopIfTrue="1">
      <formula>ISBLANK(DO9)</formula>
    </cfRule>
  </conditionalFormatting>
  <conditionalFormatting sqref="DQ9">
    <cfRule type="expression" dxfId="54" priority="391" stopIfTrue="1">
      <formula>ISBLANK(DO9)</formula>
    </cfRule>
  </conditionalFormatting>
  <conditionalFormatting sqref="DR9">
    <cfRule type="expression" dxfId="53" priority="392" stopIfTrue="1">
      <formula>ISBLANK(DO9)</formula>
    </cfRule>
  </conditionalFormatting>
  <conditionalFormatting sqref="DW4">
    <cfRule type="cellIs" dxfId="52" priority="393" stopIfTrue="1" operator="greaterThan">
      <formula>2</formula>
    </cfRule>
  </conditionalFormatting>
  <conditionalFormatting sqref="EG6:EG9">
    <cfRule type="cellIs" dxfId="51" priority="394" stopIfTrue="1" operator="equal">
      <formula>" "</formula>
    </cfRule>
  </conditionalFormatting>
  <conditionalFormatting sqref="EH6:EH9">
    <cfRule type="cellIs" dxfId="50" priority="395" stopIfTrue="1" operator="equal">
      <formula>" "</formula>
    </cfRule>
  </conditionalFormatting>
  <conditionalFormatting sqref="EC6">
    <cfRule type="expression" dxfId="49" priority="396" stopIfTrue="1">
      <formula>ISBLANK(EB6)</formula>
    </cfRule>
  </conditionalFormatting>
  <conditionalFormatting sqref="ED6">
    <cfRule type="expression" dxfId="48" priority="397" stopIfTrue="1">
      <formula>ISBLANK(EB6)</formula>
    </cfRule>
  </conditionalFormatting>
  <conditionalFormatting sqref="EE6">
    <cfRule type="expression" dxfId="47" priority="398" stopIfTrue="1">
      <formula>ISBLANK(EB6)</formula>
    </cfRule>
  </conditionalFormatting>
  <conditionalFormatting sqref="EC7">
    <cfRule type="expression" dxfId="46" priority="399" stopIfTrue="1">
      <formula>ISBLANK(EB7)</formula>
    </cfRule>
  </conditionalFormatting>
  <conditionalFormatting sqref="ED7">
    <cfRule type="expression" dxfId="45" priority="400" stopIfTrue="1">
      <formula>ISBLANK(EB7)</formula>
    </cfRule>
  </conditionalFormatting>
  <conditionalFormatting sqref="EE7">
    <cfRule type="expression" dxfId="44" priority="401" stopIfTrue="1">
      <formula>ISBLANK(EB7)</formula>
    </cfRule>
  </conditionalFormatting>
  <conditionalFormatting sqref="EC8">
    <cfRule type="expression" dxfId="43" priority="402" stopIfTrue="1">
      <formula>ISBLANK(EB8)</formula>
    </cfRule>
  </conditionalFormatting>
  <conditionalFormatting sqref="ED8">
    <cfRule type="expression" dxfId="42" priority="403" stopIfTrue="1">
      <formula>ISBLANK(EB8)</formula>
    </cfRule>
  </conditionalFormatting>
  <conditionalFormatting sqref="EE8">
    <cfRule type="expression" dxfId="41" priority="404" stopIfTrue="1">
      <formula>ISBLANK(EB8)</formula>
    </cfRule>
  </conditionalFormatting>
  <conditionalFormatting sqref="EC9">
    <cfRule type="expression" dxfId="40" priority="405" stopIfTrue="1">
      <formula>ISBLANK(EB9)</formula>
    </cfRule>
  </conditionalFormatting>
  <conditionalFormatting sqref="ED9">
    <cfRule type="expression" dxfId="39" priority="406" stopIfTrue="1">
      <formula>ISBLANK(EB9)</formula>
    </cfRule>
  </conditionalFormatting>
  <conditionalFormatting sqref="EE9">
    <cfRule type="expression" dxfId="38" priority="407" stopIfTrue="1">
      <formula>ISBLANK(EB9)</formula>
    </cfRule>
  </conditionalFormatting>
  <conditionalFormatting sqref="EJ4">
    <cfRule type="cellIs" dxfId="37" priority="408" stopIfTrue="1" operator="greaterThan">
      <formula>2</formula>
    </cfRule>
  </conditionalFormatting>
  <conditionalFormatting sqref="ET6:ET10">
    <cfRule type="cellIs" dxfId="36" priority="409" stopIfTrue="1" operator="equal">
      <formula>" "</formula>
    </cfRule>
  </conditionalFormatting>
  <conditionalFormatting sqref="EU6:EU10">
    <cfRule type="cellIs" dxfId="35" priority="410" stopIfTrue="1" operator="equal">
      <formula>" "</formula>
    </cfRule>
  </conditionalFormatting>
  <conditionalFormatting sqref="EP6">
    <cfRule type="expression" dxfId="34" priority="411" stopIfTrue="1">
      <formula>ISBLANK(EO6)</formula>
    </cfRule>
  </conditionalFormatting>
  <conditionalFormatting sqref="EQ6">
    <cfRule type="expression" dxfId="33" priority="412" stopIfTrue="1">
      <formula>ISBLANK(EO6)</formula>
    </cfRule>
  </conditionalFormatting>
  <conditionalFormatting sqref="ER6">
    <cfRule type="expression" dxfId="32" priority="413" stopIfTrue="1">
      <formula>ISBLANK(EO6)</formula>
    </cfRule>
  </conditionalFormatting>
  <conditionalFormatting sqref="EP7">
    <cfRule type="expression" dxfId="31" priority="414" stopIfTrue="1">
      <formula>ISBLANK(EO7)</formula>
    </cfRule>
  </conditionalFormatting>
  <conditionalFormatting sqref="EQ7">
    <cfRule type="expression" dxfId="30" priority="415" stopIfTrue="1">
      <formula>ISBLANK(EO7)</formula>
    </cfRule>
  </conditionalFormatting>
  <conditionalFormatting sqref="ER7">
    <cfRule type="expression" dxfId="29" priority="416" stopIfTrue="1">
      <formula>ISBLANK(EO7)</formula>
    </cfRule>
  </conditionalFormatting>
  <conditionalFormatting sqref="EP8">
    <cfRule type="expression" dxfId="28" priority="417" stopIfTrue="1">
      <formula>ISBLANK(EO8)</formula>
    </cfRule>
  </conditionalFormatting>
  <conditionalFormatting sqref="EQ8">
    <cfRule type="expression" dxfId="27" priority="418" stopIfTrue="1">
      <formula>ISBLANK(EO8)</formula>
    </cfRule>
  </conditionalFormatting>
  <conditionalFormatting sqref="ER8">
    <cfRule type="expression" dxfId="26" priority="419" stopIfTrue="1">
      <formula>ISBLANK(EO8)</formula>
    </cfRule>
  </conditionalFormatting>
  <conditionalFormatting sqref="EP9">
    <cfRule type="expression" dxfId="25" priority="420" stopIfTrue="1">
      <formula>ISBLANK(EO9)</formula>
    </cfRule>
  </conditionalFormatting>
  <conditionalFormatting sqref="EQ9">
    <cfRule type="expression" dxfId="24" priority="421" stopIfTrue="1">
      <formula>ISBLANK(EO9)</formula>
    </cfRule>
  </conditionalFormatting>
  <conditionalFormatting sqref="ER9">
    <cfRule type="expression" dxfId="23" priority="422" stopIfTrue="1">
      <formula>ISBLANK(EO9)</formula>
    </cfRule>
  </conditionalFormatting>
  <conditionalFormatting sqref="EP10">
    <cfRule type="expression" dxfId="22" priority="423" stopIfTrue="1">
      <formula>ISBLANK(EO10)</formula>
    </cfRule>
  </conditionalFormatting>
  <conditionalFormatting sqref="EQ10">
    <cfRule type="expression" dxfId="21" priority="424" stopIfTrue="1">
      <formula>ISBLANK(EO10)</formula>
    </cfRule>
  </conditionalFormatting>
  <conditionalFormatting sqref="ER10">
    <cfRule type="expression" dxfId="20" priority="425" stopIfTrue="1">
      <formula>ISBLANK(EO10)</formula>
    </cfRule>
  </conditionalFormatting>
  <conditionalFormatting sqref="EW4">
    <cfRule type="cellIs" dxfId="19" priority="426" stopIfTrue="1" operator="greaterThan">
      <formula>2.5</formula>
    </cfRule>
  </conditionalFormatting>
  <conditionalFormatting sqref="FG6:FG10">
    <cfRule type="cellIs" dxfId="18" priority="427" stopIfTrue="1" operator="equal">
      <formula>" "</formula>
    </cfRule>
  </conditionalFormatting>
  <conditionalFormatting sqref="FH6:FH10">
    <cfRule type="cellIs" dxfId="17" priority="428" stopIfTrue="1" operator="equal">
      <formula>" "</formula>
    </cfRule>
  </conditionalFormatting>
  <conditionalFormatting sqref="FC6">
    <cfRule type="expression" dxfId="16" priority="429" stopIfTrue="1">
      <formula>ISBLANK(FB6)</formula>
    </cfRule>
  </conditionalFormatting>
  <conditionalFormatting sqref="FD6">
    <cfRule type="expression" dxfId="15" priority="430" stopIfTrue="1">
      <formula>ISBLANK(FB6)</formula>
    </cfRule>
  </conditionalFormatting>
  <conditionalFormatting sqref="FE6">
    <cfRule type="expression" dxfId="14" priority="431" stopIfTrue="1">
      <formula>ISBLANK(FB6)</formula>
    </cfRule>
  </conditionalFormatting>
  <conditionalFormatting sqref="FC7">
    <cfRule type="expression" dxfId="13" priority="432" stopIfTrue="1">
      <formula>ISBLANK(FB7)</formula>
    </cfRule>
  </conditionalFormatting>
  <conditionalFormatting sqref="FD7">
    <cfRule type="expression" dxfId="12" priority="433" stopIfTrue="1">
      <formula>ISBLANK(FB7)</formula>
    </cfRule>
  </conditionalFormatting>
  <conditionalFormatting sqref="FE7">
    <cfRule type="expression" dxfId="11" priority="434" stopIfTrue="1">
      <formula>ISBLANK(FB7)</formula>
    </cfRule>
  </conditionalFormatting>
  <conditionalFormatting sqref="FC8">
    <cfRule type="expression" dxfId="10" priority="435" stopIfTrue="1">
      <formula>ISBLANK(FB8)</formula>
    </cfRule>
  </conditionalFormatting>
  <conditionalFormatting sqref="FD8">
    <cfRule type="expression" dxfId="9" priority="436" stopIfTrue="1">
      <formula>ISBLANK(FB8)</formula>
    </cfRule>
  </conditionalFormatting>
  <conditionalFormatting sqref="FE8">
    <cfRule type="expression" dxfId="8" priority="437" stopIfTrue="1">
      <formula>ISBLANK(FB8)</formula>
    </cfRule>
  </conditionalFormatting>
  <conditionalFormatting sqref="FC9">
    <cfRule type="expression" dxfId="7" priority="438" stopIfTrue="1">
      <formula>ISBLANK(FB9)</formula>
    </cfRule>
  </conditionalFormatting>
  <conditionalFormatting sqref="FD9">
    <cfRule type="expression" dxfId="6" priority="439" stopIfTrue="1">
      <formula>ISBLANK(FB9)</formula>
    </cfRule>
  </conditionalFormatting>
  <conditionalFormatting sqref="FE9">
    <cfRule type="expression" dxfId="5" priority="440" stopIfTrue="1">
      <formula>ISBLANK(FB9)</formula>
    </cfRule>
  </conditionalFormatting>
  <conditionalFormatting sqref="FC10">
    <cfRule type="expression" dxfId="4" priority="441" stopIfTrue="1">
      <formula>ISBLANK(FB10)</formula>
    </cfRule>
  </conditionalFormatting>
  <conditionalFormatting sqref="FD10">
    <cfRule type="expression" dxfId="3" priority="442" stopIfTrue="1">
      <formula>ISBLANK(FB10)</formula>
    </cfRule>
  </conditionalFormatting>
  <conditionalFormatting sqref="FE10">
    <cfRule type="expression" dxfId="2" priority="443" stopIfTrue="1">
      <formula>ISBLANK(FB10)</formula>
    </cfRule>
  </conditionalFormatting>
  <conditionalFormatting sqref="FJ4">
    <cfRule type="cellIs" dxfId="1" priority="444" stopIfTrue="1" operator="greaterThan">
      <formula>2.5</formula>
    </cfRule>
  </conditionalFormatting>
  <conditionalFormatting sqref="B1">
    <cfRule type="expression" dxfId="0" priority="445" stopIfTrue="1">
      <formula>ISERROR($B$1)</formula>
    </cfRule>
  </conditionalFormatting>
  <dataValidations count="27">
    <dataValidation type="decimal" operator="greaterThan" allowBlank="1" showInputMessage="1" showErrorMessage="1" error="Please enter a nonnegative value" sqref="C6:C20">
      <formula1>-0.0001</formula1>
    </dataValidation>
    <dataValidation type="decimal" operator="greaterThan" allowBlank="1" showInputMessage="1" showErrorMessage="1" error="Please enter a nonnegative value" sqref="D6:D20">
      <formula1>-0.0001</formula1>
    </dataValidation>
    <dataValidation type="list" allowBlank="1" showInputMessage="1" showErrorMessage="1" sqref="E6 E7 E8 E9 E10 E11 E12 E13 E14 E15 E16 E17 E18 E19 E20 R6 R7 R8 R9 R10 R11 R12 R13 R14 R15 R16 R17 R18 R19 R20 AE6 AE7 AE8 AE9 AE10 AE11 AE12 AE13 AE14 AE15 AE16 AE17 AE18 AE19 AE20 AR6 AR7 AR8 AR9 AR10 AR11 AR12 AR13 AR14 AR15 AR16 AR17 AR18 AR19 AR20 BE6 BE7 BE8 BE9 BE10 BE11 BE12 BE13 BE14 BE15 BE16 BE17 BE18 BE19 BE20 BR6 BR7 BR8 BR9 BR10 BR11 BR12 BR13 BR14 BR15 BR16 BR17 BR18 BR19 BR20 CE6 CE7 CE8 CE9 CE10 CE11 CE12 CE13 CE14 CE15 CE16 CE17 CE18 CE19 CE20 CR6 CR7 CR8 CR9 CR10 CR11 DE6 DE7 DE8 DE9 DE10 DE11 DR6 DR7 DR8 DR9 EE6 EE7 EE8 EE9 ER6 ER7 ER8 ER9 ER10 FE6 FE7 FE8 FE9 FE10">
      <formula1>"Yes, No"</formula1>
    </dataValidation>
    <dataValidation type="decimal" operator="greaterThan" allowBlank="1" showInputMessage="1" showErrorMessage="1" error="Please enter a nonnegative value" sqref="P6:P20">
      <formula1>-0.0001</formula1>
    </dataValidation>
    <dataValidation type="decimal" operator="greaterThan" allowBlank="1" showInputMessage="1" showErrorMessage="1" error="Please enter a nonnegative value" sqref="Q6:Q20">
      <formula1>-0.0001</formula1>
    </dataValidation>
    <dataValidation type="decimal" operator="greaterThan" allowBlank="1" showInputMessage="1" showErrorMessage="1" error="Please enter a nonnegative value" sqref="AC6:AC20">
      <formula1>-0.0001</formula1>
    </dataValidation>
    <dataValidation type="decimal" operator="greaterThan" allowBlank="1" showInputMessage="1" showErrorMessage="1" error="Please enter a nonnegative value" sqref="AD6:AD20">
      <formula1>-0.0001</formula1>
    </dataValidation>
    <dataValidation type="decimal" operator="greaterThan" allowBlank="1" showInputMessage="1" showErrorMessage="1" error="Please enter a nonnegative value" sqref="AP6:AP20">
      <formula1>-0.0001</formula1>
    </dataValidation>
    <dataValidation type="decimal" operator="greaterThan" allowBlank="1" showInputMessage="1" showErrorMessage="1" error="Please enter a nonnegative value" sqref="AQ6:AQ20">
      <formula1>-0.0001</formula1>
    </dataValidation>
    <dataValidation type="decimal" operator="greaterThan" allowBlank="1" showInputMessage="1" showErrorMessage="1" error="Please enter a nonnegative value" sqref="BC6:BC20">
      <formula1>-0.0001</formula1>
    </dataValidation>
    <dataValidation type="decimal" operator="greaterThan" allowBlank="1" showInputMessage="1" showErrorMessage="1" error="Please enter a nonnegative value" sqref="BD6:BD20">
      <formula1>-0.0001</formula1>
    </dataValidation>
    <dataValidation type="decimal" operator="greaterThan" allowBlank="1" showInputMessage="1" showErrorMessage="1" error="Please enter a nonnegative value" sqref="BP6:BP20">
      <formula1>-0.0001</formula1>
    </dataValidation>
    <dataValidation type="decimal" operator="greaterThan" allowBlank="1" showInputMessage="1" showErrorMessage="1" error="Please enter a nonnegative value" sqref="BQ6:BQ20">
      <formula1>-0.0001</formula1>
    </dataValidation>
    <dataValidation type="decimal" operator="greaterThan" allowBlank="1" showInputMessage="1" showErrorMessage="1" error="Please enter a nonnegative value" sqref="CC6:CC20">
      <formula1>-0.0001</formula1>
    </dataValidation>
    <dataValidation type="decimal" operator="greaterThan" allowBlank="1" showInputMessage="1" showErrorMessage="1" error="Please enter a nonnegative value" sqref="CD6:CD20">
      <formula1>-0.0001</formula1>
    </dataValidation>
    <dataValidation type="decimal" operator="greaterThan" allowBlank="1" showInputMessage="1" showErrorMessage="1" error="Please enter a nonnegative value" sqref="CP6:CP11">
      <formula1>-0.0001</formula1>
    </dataValidation>
    <dataValidation type="decimal" operator="greaterThan" allowBlank="1" showInputMessage="1" showErrorMessage="1" error="Please enter a nonnegative value" sqref="CQ6:CQ11">
      <formula1>-0.0001</formula1>
    </dataValidation>
    <dataValidation type="decimal" operator="greaterThan" allowBlank="1" showInputMessage="1" showErrorMessage="1" error="Please enter a nonnegative value" sqref="DC6:DC11">
      <formula1>-0.0001</formula1>
    </dataValidation>
    <dataValidation type="decimal" operator="greaterThan" allowBlank="1" showInputMessage="1" showErrorMessage="1" error="Please enter a nonnegative value" sqref="DD6:DD11">
      <formula1>-0.0001</formula1>
    </dataValidation>
    <dataValidation type="decimal" operator="greaterThan" allowBlank="1" showInputMessage="1" showErrorMessage="1" error="Please enter a nonnegative value" sqref="DP6:DP9">
      <formula1>-0.0001</formula1>
    </dataValidation>
    <dataValidation type="decimal" operator="greaterThan" allowBlank="1" showInputMessage="1" showErrorMessage="1" error="Please enter a nonnegative value" sqref="DQ6:DQ9">
      <formula1>-0.0001</formula1>
    </dataValidation>
    <dataValidation type="decimal" operator="greaterThan" allowBlank="1" showInputMessage="1" showErrorMessage="1" error="Please enter a nonnegative value" sqref="EC6:EC9">
      <formula1>-0.0001</formula1>
    </dataValidation>
    <dataValidation type="decimal" operator="greaterThan" allowBlank="1" showInputMessage="1" showErrorMessage="1" error="Please enter a nonnegative value" sqref="ED6:ED9">
      <formula1>-0.0001</formula1>
    </dataValidation>
    <dataValidation type="decimal" operator="greaterThan" allowBlank="1" showInputMessage="1" showErrorMessage="1" error="Please enter a nonnegative value" sqref="EP6:EP10">
      <formula1>-0.0001</formula1>
    </dataValidation>
    <dataValidation type="decimal" operator="greaterThan" allowBlank="1" showInputMessage="1" showErrorMessage="1" error="Please enter a nonnegative value" sqref="EQ6:EQ10">
      <formula1>-0.0001</formula1>
    </dataValidation>
    <dataValidation type="decimal" operator="greaterThan" allowBlank="1" showInputMessage="1" showErrorMessage="1" error="Please enter a nonnegative value" sqref="FC6:FC10">
      <formula1>-0.0001</formula1>
    </dataValidation>
    <dataValidation type="decimal" operator="greaterThan" allowBlank="1" showInputMessage="1" showErrorMessage="1" error="Please enter a nonnegative value" sqref="FD6:FD10">
      <formula1>-0.0001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3">
        <x14:dataValidation type="list" allowBlank="1" showInputMessage="1" showErrorMessage="1" errorTitle="Warning" error="Please select a value from the list available in the selected cell.">
          <x14:formula1>
            <xm:f>'1.Items'!$B$2:$B$5</xm:f>
          </x14:formula1>
          <xm:sqref>B6:B20</xm:sqref>
        </x14:dataValidation>
        <x14:dataValidation type="list" allowBlank="1" showInputMessage="1" showErrorMessage="1" errorTitle="Warning" error="Please select a value from the list available in the selected cell.">
          <x14:formula1>
            <xm:f>'1.Items'!$B$2:$B$5</xm:f>
          </x14:formula1>
          <xm:sqref>O6:O20</xm:sqref>
        </x14:dataValidation>
        <x14:dataValidation type="list" allowBlank="1" showInputMessage="1" showErrorMessage="1" errorTitle="Warning" error="Please select a value from the list available in the selected cell.">
          <x14:formula1>
            <xm:f>'1.Items'!$B$2:$B$5</xm:f>
          </x14:formula1>
          <xm:sqref>AB6:AB20</xm:sqref>
        </x14:dataValidation>
        <x14:dataValidation type="list" allowBlank="1" showInputMessage="1" showErrorMessage="1" errorTitle="Warning" error="Please select a value from the list available in the selected cell.">
          <x14:formula1>
            <xm:f>'1.Items'!$B$2:$B$5</xm:f>
          </x14:formula1>
          <xm:sqref>AO6:AO20</xm:sqref>
        </x14:dataValidation>
        <x14:dataValidation type="list" allowBlank="1" showInputMessage="1" showErrorMessage="1" errorTitle="Warning" error="Please select a value from the list available in the selected cell.">
          <x14:formula1>
            <xm:f>'1.Items'!$B$2:$B$5</xm:f>
          </x14:formula1>
          <xm:sqref>BB6:BB20</xm:sqref>
        </x14:dataValidation>
        <x14:dataValidation type="list" allowBlank="1" showInputMessage="1" showErrorMessage="1" errorTitle="Warning" error="Please select a value from the list available in the selected cell.">
          <x14:formula1>
            <xm:f>'1.Items'!$B$2:$B$5</xm:f>
          </x14:formula1>
          <xm:sqref>BO6:BO20</xm:sqref>
        </x14:dataValidation>
        <x14:dataValidation type="list" allowBlank="1" showInputMessage="1" showErrorMessage="1" errorTitle="Warning" error="Please select a value from the list available in the selected cell.">
          <x14:formula1>
            <xm:f>'1.Items'!$B$2:$B$5</xm:f>
          </x14:formula1>
          <xm:sqref>CB6:CB20</xm:sqref>
        </x14:dataValidation>
        <x14:dataValidation type="list" allowBlank="1" showInputMessage="1" showErrorMessage="1" errorTitle="Warning" error="Please select a value from the list available in the selected cell.">
          <x14:formula1>
            <xm:f>'1.Items'!$B$2:$B$5</xm:f>
          </x14:formula1>
          <xm:sqref>CO6:CO11</xm:sqref>
        </x14:dataValidation>
        <x14:dataValidation type="list" allowBlank="1" showInputMessage="1" showErrorMessage="1" errorTitle="Warning" error="Please select a value from the list available in the selected cell.">
          <x14:formula1>
            <xm:f>'1.Items'!$B$2:$B$5</xm:f>
          </x14:formula1>
          <xm:sqref>DB6:DB11</xm:sqref>
        </x14:dataValidation>
        <x14:dataValidation type="list" allowBlank="1" showInputMessage="1" showErrorMessage="1" errorTitle="Warning" error="Please select a value from the list available in the selected cell.">
          <x14:formula1>
            <xm:f>'1.Items'!$B$2:$B$5</xm:f>
          </x14:formula1>
          <xm:sqref>DO6:DO9</xm:sqref>
        </x14:dataValidation>
        <x14:dataValidation type="list" allowBlank="1" showInputMessage="1" showErrorMessage="1" errorTitle="Warning" error="Please select a value from the list available in the selected cell.">
          <x14:formula1>
            <xm:f>'1.Items'!$B$2:$B$5</xm:f>
          </x14:formula1>
          <xm:sqref>EB6:EB9</xm:sqref>
        </x14:dataValidation>
        <x14:dataValidation type="list" allowBlank="1" showInputMessage="1" showErrorMessage="1" errorTitle="Warning" error="Please select a value from the list available in the selected cell.">
          <x14:formula1>
            <xm:f>'1.Items'!$B$2:$B$5</xm:f>
          </x14:formula1>
          <xm:sqref>EO6:EO10</xm:sqref>
        </x14:dataValidation>
        <x14:dataValidation type="list" allowBlank="1" showInputMessage="1" showErrorMessage="1" errorTitle="Warning" error="Please select a value from the list available in the selected cell.">
          <x14:formula1>
            <xm:f>'1.Items'!$B$2:$B$5</xm:f>
          </x14:formula1>
          <xm:sqref>FB6:FB10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Z2"/>
  <sheetViews>
    <sheetView showGridLines="0" tabSelected="1" workbookViewId="0">
      <selection activeCell="F35" sqref="F35"/>
    </sheetView>
  </sheetViews>
  <sheetFormatPr defaultRowHeight="15" x14ac:dyDescent="0.25"/>
  <sheetData>
    <row r="2" spans="2:26" x14ac:dyDescent="0.25">
      <c r="B2" s="3" t="s">
        <v>62</v>
      </c>
      <c r="D2" s="3" t="s">
        <v>63</v>
      </c>
      <c r="F2" s="3" t="s">
        <v>64</v>
      </c>
      <c r="H2" s="3" t="s">
        <v>65</v>
      </c>
      <c r="J2" s="3" t="s">
        <v>66</v>
      </c>
      <c r="L2" s="3" t="s">
        <v>67</v>
      </c>
      <c r="N2" s="3" t="s">
        <v>68</v>
      </c>
      <c r="P2" s="3" t="s">
        <v>70</v>
      </c>
      <c r="R2" s="3" t="s">
        <v>71</v>
      </c>
      <c r="T2" s="3" t="s">
        <v>74</v>
      </c>
      <c r="V2" s="3" t="s">
        <v>75</v>
      </c>
      <c r="X2" s="3" t="s">
        <v>76</v>
      </c>
      <c r="Z2" s="3" t="s">
        <v>77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Z3"/>
  <sheetViews>
    <sheetView showGridLines="0" workbookViewId="0">
      <selection activeCell="X28" sqref="X28"/>
    </sheetView>
  </sheetViews>
  <sheetFormatPr defaultRowHeight="15" x14ac:dyDescent="0.25"/>
  <sheetData>
    <row r="3" spans="2:26" x14ac:dyDescent="0.25">
      <c r="B3" s="3" t="s">
        <v>78</v>
      </c>
      <c r="D3" s="3" t="s">
        <v>79</v>
      </c>
      <c r="F3" s="3" t="s">
        <v>80</v>
      </c>
      <c r="H3" s="3" t="s">
        <v>81</v>
      </c>
      <c r="J3" s="3" t="s">
        <v>82</v>
      </c>
      <c r="L3" s="3" t="s">
        <v>83</v>
      </c>
      <c r="N3" s="3" t="s">
        <v>84</v>
      </c>
      <c r="P3" s="3" t="s">
        <v>85</v>
      </c>
      <c r="R3" s="3" t="s">
        <v>86</v>
      </c>
      <c r="T3" s="3"/>
      <c r="V3" s="3"/>
      <c r="X3" s="3"/>
      <c r="Z3" s="3"/>
    </row>
  </sheetData>
  <pageMargins left="0.7" right="0.7" top="0.75" bottom="0.75" header="0.3" footer="0.3"/>
  <drawing r:id="rId1"/>
</worksheet>
</file>

<file path=customUI/customUI14.xml><?xml version="1.0" encoding="utf-8"?>
<customUI xmlns="http://schemas.microsoft.com/office/2009/07/customui" onLoad="tabActivate">
  <ribbon startFromScratch="false">
    <tabs>
      <tab id="BPPSpreadsheetSolver" label="BPP Spreadsheet Solver">
        <group id="customGroup1">
          <menu id="menu0" label="0. Reset" imageMso="Delete" size="large">
            <button id="customButton1" label="0. Reset the workbook" imageMso="Delete" onAction="ResetWorkbookRibbonCall"/>
          </menu>
        </group>
        <group id="customGroup2">
          <menu id="menu1" label="1. Items" imageMso="_3DExtrusionDepthNoneClassic" size="large">
            <button id="customButton2" label="1.1. Setup Items Worksheet" imageMso="AdpDiagramAddTable" onAction="SetupItemsWorksheetRibbonCall"/>
            <button id="customButton3" label="1.2. Sort items alphabetically" imageMso="SortUp" onAction="SortItemsRibbonCall"/>
            <button id="customButton4" label="1.3. Setup item-item compatibility worksheet" imageMso="AdpDiagramAddTable" onAction="SetupItemItemCompatibilityWorksheetRibbonCall"/>
          </menu>
        </group>
        <group id="customGroup3">
          <menu id="menu2" label="2. Bins" imageMso="NotebookColor2" size="large">
            <button id="customButton5" label="2.1. Setup Bins Worksheet" imageMso="AdpDiagramAddTable" onAction="SetupBinsWorksheetRibbonCall"/>
            <button id="customButton6" label="2.2. Sort bins alphabetically" imageMso="SortUp" onAction="SortBinTypesRibbonCall"/>
            <button id="customButton7" label="2.3. Setup bin-item compatibility worksheet" imageMso="AdpDiagramAddTable" onAction="SetupBinItemCompatibilityWorksheetRibbonCall"/>
          </menu>
        </group>
        <group id="customGroup4">
          <menu id="menu3" label="3. Solution" imageMso="AdpPrimaryKey" size="large">
            <button id="customButton8" label="3. Setup Solution Worksheet" imageMso="AdpDiagramAddTable" onAction="SetupSolutionWorksheetRibbonCall"/>
          </menu>
        </group>
        <group id="customGroup5">
          <menu id="menu4" label="4. Visualization" imageMso="ObjectsArrangeMenu" size="large">
            <button id="customButton9" label="4. Setup Visualization Worksheet" imageMso="ObjectsArrangeMenu" onAction="SetupVisualizationWorksheetRibbonCall"/>
          </menu>
        </group>
        <group id="customGroup7">
          <menu id="menu5" label="5. Solver" imageMso="AnimationStartDropdown" size="large">
            <button id="customButton10" label="5.1. Engage BPP Spreadsheet Solver" imageMso="AnimationStartDropdown" onAction="BPP_Solver_ribbon_call"/>
            <button id="customButton11" label="5.2. Feasibility Check" imageMso="AdvancedFind" onAction="FeasibilityCheckDataAndSolutionRibbonCall"/>
          </menu>
        </group>
        <group id="customGroup8">
          <menu id="menu6" label="Info" imageMso="Info" size="large">
            <button id="customButton12" label="Send feedback or ask a question" imageMso="ContactCardSendEmail" onAction="SendFeedbackRibbonCall"/>
            <button id="customButton13" label="Watch the tutorial video on YouTube" imageMso="MovieFromFileInsert" onAction="WatchTutorialRibbonCall"/>
            <button id="customButton14" label="About" imageMso="Info" onAction="AboutRibbonCall"/>
          </menu>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BPP Solver Console</vt:lpstr>
      <vt:lpstr>1.Items</vt:lpstr>
      <vt:lpstr>2.Bins</vt:lpstr>
      <vt:lpstr>3.Solution</vt:lpstr>
      <vt:lpstr>4.Visualization</vt:lpstr>
      <vt:lpstr>4.Visualization - rearranged</vt:lpstr>
    </vt:vector>
  </TitlesOfParts>
  <Company>University of Bath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Ahmad, Nayef [VC]</cp:lastModifiedBy>
  <dcterms:created xsi:type="dcterms:W3CDTF">2013-07-17T23:20:08Z</dcterms:created>
  <dcterms:modified xsi:type="dcterms:W3CDTF">2019-03-16T02:40:51Z</dcterms:modified>
</cp:coreProperties>
</file>